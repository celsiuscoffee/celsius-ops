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ales Ledger" sheetId="2" state="visible" r:id="rId2"/>
    <sheet name="PO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0" fillId="2" borderId="0" pivotButton="0" quotePrefix="0" xfId="0"/>
    <xf numFmtId="9" fontId="0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4" customWidth="1" min="4" max="4"/>
    <col width="18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CELSIUS FOOD COST MODEL - APR-JUL 2026 (all live formulas)</t>
        </is>
      </c>
    </row>
    <row r="2">
      <c r="A2" t="inlineStr">
        <is>
          <t>Yellow cells are editable. Edit a dose or true cost, or correct a PO Ledger line - every number here recalculates.</t>
        </is>
      </c>
    </row>
    <row r="3">
      <c r="A3" t="inlineStr">
        <is>
          <t>Tabs: Model (assumptions + results) | Sales Ledger (every menu x month x dose = expected usage) | PO Ledger (every purchase line = actual)</t>
        </is>
      </c>
    </row>
    <row r="5">
      <c r="A5" s="2" t="inlineStr">
        <is>
          <t>1. ASSUMPTIONS</t>
        </is>
      </c>
    </row>
    <row r="6">
      <c r="A6" s="3" t="inlineStr">
        <is>
          <t>Ingredient</t>
        </is>
      </c>
      <c r="B6" s="3" t="inlineStr">
        <is>
          <t>UOM</t>
        </is>
      </c>
      <c r="C6" s="3" t="inlineStr">
        <is>
          <t>True cost RM/base unit (EDIT)</t>
        </is>
      </c>
      <c r="D6" s="3" t="inlineStr">
        <is>
          <t>Note</t>
        </is>
      </c>
    </row>
    <row r="7">
      <c r="A7" t="inlineStr">
        <is>
          <t>Home Blend (Collective)</t>
        </is>
      </c>
      <c r="B7" t="inlineStr">
        <is>
          <t>g</t>
        </is>
      </c>
      <c r="C7" s="4" t="n">
        <v>0.093</v>
      </c>
      <c r="D7" t="inlineStr">
        <is>
          <t>RM93/kg beans</t>
        </is>
      </c>
    </row>
    <row r="8">
      <c r="A8" t="inlineStr">
        <is>
          <t>Fresh Milk</t>
        </is>
      </c>
      <c r="B8" t="inlineStr">
        <is>
          <t>ml</t>
        </is>
      </c>
      <c r="C8" s="4" t="n">
        <v>0.007</v>
      </c>
      <c r="D8" t="inlineStr">
        <is>
          <t>RM7/L TRUE price (not package-bug price)</t>
        </is>
      </c>
    </row>
    <row r="9">
      <c r="A9" t="inlineStr">
        <is>
          <t>Brioche Sandwich</t>
        </is>
      </c>
      <c r="B9" t="inlineStr">
        <is>
          <t>pcs</t>
        </is>
      </c>
      <c r="C9" s="4" t="n">
        <v>1.55</v>
      </c>
      <c r="D9" t="inlineStr">
        <is>
          <t>RM15.50 per 10-pc loaf</t>
        </is>
      </c>
    </row>
    <row r="10">
      <c r="A10" t="inlineStr">
        <is>
          <t>Telur Omega</t>
        </is>
      </c>
      <c r="B10" t="inlineStr">
        <is>
          <t>pcs</t>
        </is>
      </c>
      <c r="C10" s="4" t="n">
        <v>0.76</v>
      </c>
      <c r="D10" t="inlineStr">
        <is>
          <t>per egg</t>
        </is>
      </c>
    </row>
    <row r="11">
      <c r="A11" t="inlineStr">
        <is>
          <t>Burnt Cheesecake</t>
        </is>
      </c>
      <c r="B11" t="inlineStr">
        <is>
          <t>pcs</t>
        </is>
      </c>
      <c r="C11" s="4" t="n">
        <v>8.33</v>
      </c>
      <c r="D11" t="inlineStr">
        <is>
          <t>per slice</t>
        </is>
      </c>
    </row>
    <row r="12">
      <c r="A12" t="inlineStr">
        <is>
          <t>Salted Croissant</t>
        </is>
      </c>
      <c r="B12" t="inlineStr">
        <is>
          <t>pcs</t>
        </is>
      </c>
      <c r="C12" s="4" t="n">
        <v>6.09</v>
      </c>
      <c r="D12" t="inlineStr">
        <is>
          <t>per pc</t>
        </is>
      </c>
    </row>
    <row r="13">
      <c r="A13" t="inlineStr">
        <is>
          <t>Udang</t>
        </is>
      </c>
      <c r="B13" t="inlineStr">
        <is>
          <t>g</t>
        </is>
      </c>
      <c r="C13" s="4" t="n">
        <v>0.016</v>
      </c>
      <c r="D13" t="inlineStr">
        <is>
          <t>RM16/kg</t>
        </is>
      </c>
    </row>
    <row r="14">
      <c r="A14" t="inlineStr">
        <is>
          <t>Pull Lamb</t>
        </is>
      </c>
      <c r="B14" t="inlineStr">
        <is>
          <t>g</t>
        </is>
      </c>
      <c r="C14" s="4" t="n">
        <v>0.129</v>
      </c>
      <c r="D14" t="inlineStr">
        <is>
          <t>per g</t>
        </is>
      </c>
    </row>
    <row r="16">
      <c r="A16" t="inlineStr">
        <is>
          <t>Plan COGS %</t>
        </is>
      </c>
      <c r="B16" s="5" t="n">
        <v>0.38</v>
      </c>
    </row>
    <row r="18">
      <c r="A18" s="2" t="inlineStr">
        <is>
          <t>2. MONTHLY TOP-DOWN (bank cash lens)</t>
        </is>
      </c>
    </row>
    <row r="19">
      <c r="A19" s="3" t="inlineStr">
        <is>
          <t>Month</t>
        </is>
      </c>
      <c r="B19" s="3" t="inlineStr">
        <is>
          <t>Revenue RM</t>
        </is>
      </c>
      <c r="C19" s="3" t="inlineStr">
        <is>
          <t>Cash raw materials RM</t>
        </is>
      </c>
      <c r="D19" s="3" t="inlineStr">
        <is>
          <t>Cash %</t>
        </is>
      </c>
      <c r="E19" s="3" t="inlineStr">
        <is>
          <t>Gap vs plan RM</t>
        </is>
      </c>
    </row>
    <row r="20">
      <c r="A20" t="inlineStr">
        <is>
          <t>2026-04</t>
        </is>
      </c>
      <c r="B20" s="6" t="n">
        <v>335719</v>
      </c>
      <c r="C20" s="6" t="n">
        <v>152525</v>
      </c>
      <c r="D20" s="7">
        <f>C20/B20</f>
        <v/>
      </c>
      <c r="E20" s="6">
        <f>C20-B20*$B$16</f>
        <v/>
      </c>
    </row>
    <row r="21">
      <c r="A21" t="inlineStr">
        <is>
          <t>2026-05</t>
        </is>
      </c>
      <c r="B21" s="6" t="n">
        <v>349775</v>
      </c>
      <c r="C21" s="6" t="n">
        <v>148791</v>
      </c>
      <c r="D21" s="7">
        <f>C21/B21</f>
        <v/>
      </c>
      <c r="E21" s="6">
        <f>C21-B21*$B$16</f>
        <v/>
      </c>
    </row>
    <row r="22">
      <c r="A22" t="inlineStr">
        <is>
          <t>2026-06</t>
        </is>
      </c>
      <c r="B22" s="6" t="n">
        <v>324584</v>
      </c>
      <c r="C22" s="6" t="n">
        <v>148522</v>
      </c>
      <c r="D22" s="7">
        <f>C22/B22</f>
        <v/>
      </c>
      <c r="E22" s="6">
        <f>C22-B22*$B$16</f>
        <v/>
      </c>
    </row>
    <row r="23">
      <c r="A23" t="inlineStr">
        <is>
          <t>2026-07</t>
        </is>
      </c>
      <c r="B23" s="6" t="n">
        <v>290251</v>
      </c>
      <c r="C23" s="6" t="n">
        <v>114754</v>
      </c>
      <c r="D23" s="7">
        <f>C23/B23</f>
        <v/>
      </c>
      <c r="E23" s="6">
        <f>C23-B23*$B$16</f>
        <v/>
      </c>
    </row>
    <row r="24">
      <c r="A24" t="inlineStr">
        <is>
          <t>TOTAL</t>
        </is>
      </c>
      <c r="B24" s="6">
        <f>SUM(B20:B23)</f>
        <v/>
      </c>
      <c r="C24" s="6">
        <f>SUM(C20:C23)</f>
        <v/>
      </c>
      <c r="D24" s="7">
        <f>C24/B24</f>
        <v/>
      </c>
      <c r="E24" s="6">
        <f>SUM(E20:E23)</f>
        <v/>
      </c>
    </row>
    <row r="26">
      <c r="A26" s="2" t="inlineStr">
        <is>
          <t>3. ANALYSIS - ingredient x month (formulas over the two ledger tabs)</t>
        </is>
      </c>
    </row>
    <row r="27">
      <c r="A27" s="3" t="inlineStr">
        <is>
          <t>Ingredient</t>
        </is>
      </c>
      <c r="B27" s="3" t="inlineStr">
        <is>
          <t>Month</t>
        </is>
      </c>
      <c r="C27" s="3" t="inlineStr">
        <is>
          <t>Items sold</t>
        </is>
      </c>
      <c r="D27" s="3" t="inlineStr">
        <is>
          <t>Expected usage</t>
        </is>
      </c>
      <c r="E27" s="3" t="inlineStr">
        <is>
          <t>Purchased (recorded)</t>
        </is>
      </c>
      <c r="F27" s="3" t="inlineStr">
        <is>
          <t>Spend RM</t>
        </is>
      </c>
      <c r="G27" s="3" t="inlineStr">
        <is>
          <t>True cost/unit</t>
        </is>
      </c>
      <c r="H27" s="3" t="inlineStr">
        <is>
          <t>Purchased @true cost</t>
        </is>
      </c>
      <c r="I27" s="3" t="inlineStr">
        <is>
          <t>Ratio true/expected</t>
        </is>
      </c>
      <c r="J27" s="3" t="inlineStr">
        <is>
          <t>Excess RM</t>
        </is>
      </c>
    </row>
    <row r="28">
      <c r="A28" t="inlineStr">
        <is>
          <t>Home Blend (Collective)</t>
        </is>
      </c>
      <c r="B28" t="inlineStr">
        <is>
          <t>2026-04</t>
        </is>
      </c>
      <c r="C28" s="6">
        <f>SUMIFS('Sales Ledger'!$D$2:$D$294,'Sales Ledger'!$A$2:$A$294,$A28,'Sales Ledger'!$C$2:$C$294,$B28)</f>
        <v/>
      </c>
      <c r="D28" s="6">
        <f>SUMIFS('Sales Ledger'!$F$2:$F$294,'Sales Ledger'!$A$2:$A$294,$A28,'Sales Ledger'!$C$2:$C$294,$B28)</f>
        <v/>
      </c>
      <c r="E28" s="6">
        <f>SUMIFS('PO Ledger'!$J$2:$J$384,'PO Ledger'!$F$2:$F$384,$A28,'PO Ledger'!$A$2:$A$384,$B28)</f>
        <v/>
      </c>
      <c r="F28" s="6">
        <f>SUMIFS('PO Ledger'!$L$2:$L$384,'PO Ledger'!$F$2:$F$384,$A28,'PO Ledger'!$A$2:$A$384,$B28)</f>
        <v/>
      </c>
      <c r="G28">
        <f>VLOOKUP($A28,$A$7:$D$14,3,0)</f>
        <v/>
      </c>
      <c r="H28" s="6">
        <f>IF(G28&gt;0,F28/G28,E28)</f>
        <v/>
      </c>
      <c r="I28" s="8">
        <f>IF(D28&gt;0,H28/D28,"")</f>
        <v/>
      </c>
      <c r="J28" s="6">
        <f>MAX(0,F28-D28*G28)</f>
        <v/>
      </c>
    </row>
    <row r="29">
      <c r="A29" t="inlineStr">
        <is>
          <t>Home Blend (Collective)</t>
        </is>
      </c>
      <c r="B29" t="inlineStr">
        <is>
          <t>2026-05</t>
        </is>
      </c>
      <c r="C29" s="6">
        <f>SUMIFS('Sales Ledger'!$D$2:$D$294,'Sales Ledger'!$A$2:$A$294,$A29,'Sales Ledger'!$C$2:$C$294,$B29)</f>
        <v/>
      </c>
      <c r="D29" s="6">
        <f>SUMIFS('Sales Ledger'!$F$2:$F$294,'Sales Ledger'!$A$2:$A$294,$A29,'Sales Ledger'!$C$2:$C$294,$B29)</f>
        <v/>
      </c>
      <c r="E29" s="6">
        <f>SUMIFS('PO Ledger'!$J$2:$J$384,'PO Ledger'!$F$2:$F$384,$A29,'PO Ledger'!$A$2:$A$384,$B29)</f>
        <v/>
      </c>
      <c r="F29" s="6">
        <f>SUMIFS('PO Ledger'!$L$2:$L$384,'PO Ledger'!$F$2:$F$384,$A29,'PO Ledger'!$A$2:$A$384,$B29)</f>
        <v/>
      </c>
      <c r="G29">
        <f>VLOOKUP($A29,$A$7:$D$14,3,0)</f>
        <v/>
      </c>
      <c r="H29" s="6">
        <f>IF(G29&gt;0,F29/G29,E29)</f>
        <v/>
      </c>
      <c r="I29" s="8">
        <f>IF(D29&gt;0,H29/D29,"")</f>
        <v/>
      </c>
      <c r="J29" s="6">
        <f>MAX(0,F29-D29*G29)</f>
        <v/>
      </c>
    </row>
    <row r="30">
      <c r="A30" t="inlineStr">
        <is>
          <t>Home Blend (Collective)</t>
        </is>
      </c>
      <c r="B30" t="inlineStr">
        <is>
          <t>2026-06</t>
        </is>
      </c>
      <c r="C30" s="6">
        <f>SUMIFS('Sales Ledger'!$D$2:$D$294,'Sales Ledger'!$A$2:$A$294,$A30,'Sales Ledger'!$C$2:$C$294,$B30)</f>
        <v/>
      </c>
      <c r="D30" s="6">
        <f>SUMIFS('Sales Ledger'!$F$2:$F$294,'Sales Ledger'!$A$2:$A$294,$A30,'Sales Ledger'!$C$2:$C$294,$B30)</f>
        <v/>
      </c>
      <c r="E30" s="6">
        <f>SUMIFS('PO Ledger'!$J$2:$J$384,'PO Ledger'!$F$2:$F$384,$A30,'PO Ledger'!$A$2:$A$384,$B30)</f>
        <v/>
      </c>
      <c r="F30" s="6">
        <f>SUMIFS('PO Ledger'!$L$2:$L$384,'PO Ledger'!$F$2:$F$384,$A30,'PO Ledger'!$A$2:$A$384,$B30)</f>
        <v/>
      </c>
      <c r="G30">
        <f>VLOOKUP($A30,$A$7:$D$14,3,0)</f>
        <v/>
      </c>
      <c r="H30" s="6">
        <f>IF(G30&gt;0,F30/G30,E30)</f>
        <v/>
      </c>
      <c r="I30" s="8">
        <f>IF(D30&gt;0,H30/D30,"")</f>
        <v/>
      </c>
      <c r="J30" s="6">
        <f>MAX(0,F30-D30*G30)</f>
        <v/>
      </c>
    </row>
    <row r="31">
      <c r="A31" t="inlineStr">
        <is>
          <t>Home Blend (Collective)</t>
        </is>
      </c>
      <c r="B31" t="inlineStr">
        <is>
          <t>2026-07</t>
        </is>
      </c>
      <c r="C31" s="6">
        <f>SUMIFS('Sales Ledger'!$D$2:$D$294,'Sales Ledger'!$A$2:$A$294,$A31,'Sales Ledger'!$C$2:$C$294,$B31)</f>
        <v/>
      </c>
      <c r="D31" s="6">
        <f>SUMIFS('Sales Ledger'!$F$2:$F$294,'Sales Ledger'!$A$2:$A$294,$A31,'Sales Ledger'!$C$2:$C$294,$B31)</f>
        <v/>
      </c>
      <c r="E31" s="6">
        <f>SUMIFS('PO Ledger'!$J$2:$J$384,'PO Ledger'!$F$2:$F$384,$A31,'PO Ledger'!$A$2:$A$384,$B31)</f>
        <v/>
      </c>
      <c r="F31" s="6">
        <f>SUMIFS('PO Ledger'!$L$2:$L$384,'PO Ledger'!$F$2:$F$384,$A31,'PO Ledger'!$A$2:$A$384,$B31)</f>
        <v/>
      </c>
      <c r="G31">
        <f>VLOOKUP($A31,$A$7:$D$14,3,0)</f>
        <v/>
      </c>
      <c r="H31" s="6">
        <f>IF(G31&gt;0,F31/G31,E31)</f>
        <v/>
      </c>
      <c r="I31" s="8">
        <f>IF(D31&gt;0,H31/D31,"")</f>
        <v/>
      </c>
      <c r="J31" s="6">
        <f>MAX(0,F31-D31*G31)</f>
        <v/>
      </c>
    </row>
    <row r="32">
      <c r="A32" t="inlineStr">
        <is>
          <t>Fresh Milk</t>
        </is>
      </c>
      <c r="B32" t="inlineStr">
        <is>
          <t>2026-04</t>
        </is>
      </c>
      <c r="C32" s="6">
        <f>SUMIFS('Sales Ledger'!$D$2:$D$294,'Sales Ledger'!$A$2:$A$294,$A32,'Sales Ledger'!$C$2:$C$294,$B32)</f>
        <v/>
      </c>
      <c r="D32" s="6">
        <f>SUMIFS('Sales Ledger'!$F$2:$F$294,'Sales Ledger'!$A$2:$A$294,$A32,'Sales Ledger'!$C$2:$C$294,$B32)</f>
        <v/>
      </c>
      <c r="E32" s="6">
        <f>SUMIFS('PO Ledger'!$J$2:$J$384,'PO Ledger'!$F$2:$F$384,$A32,'PO Ledger'!$A$2:$A$384,$B32)</f>
        <v/>
      </c>
      <c r="F32" s="6">
        <f>SUMIFS('PO Ledger'!$L$2:$L$384,'PO Ledger'!$F$2:$F$384,$A32,'PO Ledger'!$A$2:$A$384,$B32)</f>
        <v/>
      </c>
      <c r="G32">
        <f>VLOOKUP($A32,$A$7:$D$14,3,0)</f>
        <v/>
      </c>
      <c r="H32" s="6">
        <f>IF(G32&gt;0,F32/G32,E32)</f>
        <v/>
      </c>
      <c r="I32" s="8">
        <f>IF(D32&gt;0,H32/D32,"")</f>
        <v/>
      </c>
      <c r="J32" s="6">
        <f>MAX(0,F32-D32*G32)</f>
        <v/>
      </c>
    </row>
    <row r="33">
      <c r="A33" t="inlineStr">
        <is>
          <t>Fresh Milk</t>
        </is>
      </c>
      <c r="B33" t="inlineStr">
        <is>
          <t>2026-05</t>
        </is>
      </c>
      <c r="C33" s="6">
        <f>SUMIFS('Sales Ledger'!$D$2:$D$294,'Sales Ledger'!$A$2:$A$294,$A33,'Sales Ledger'!$C$2:$C$294,$B33)</f>
        <v/>
      </c>
      <c r="D33" s="6">
        <f>SUMIFS('Sales Ledger'!$F$2:$F$294,'Sales Ledger'!$A$2:$A$294,$A33,'Sales Ledger'!$C$2:$C$294,$B33)</f>
        <v/>
      </c>
      <c r="E33" s="6">
        <f>SUMIFS('PO Ledger'!$J$2:$J$384,'PO Ledger'!$F$2:$F$384,$A33,'PO Ledger'!$A$2:$A$384,$B33)</f>
        <v/>
      </c>
      <c r="F33" s="6">
        <f>SUMIFS('PO Ledger'!$L$2:$L$384,'PO Ledger'!$F$2:$F$384,$A33,'PO Ledger'!$A$2:$A$384,$B33)</f>
        <v/>
      </c>
      <c r="G33">
        <f>VLOOKUP($A33,$A$7:$D$14,3,0)</f>
        <v/>
      </c>
      <c r="H33" s="6">
        <f>IF(G33&gt;0,F33/G33,E33)</f>
        <v/>
      </c>
      <c r="I33" s="8">
        <f>IF(D33&gt;0,H33/D33,"")</f>
        <v/>
      </c>
      <c r="J33" s="6">
        <f>MAX(0,F33-D33*G33)</f>
        <v/>
      </c>
    </row>
    <row r="34">
      <c r="A34" t="inlineStr">
        <is>
          <t>Fresh Milk</t>
        </is>
      </c>
      <c r="B34" t="inlineStr">
        <is>
          <t>2026-06</t>
        </is>
      </c>
      <c r="C34" s="6">
        <f>SUMIFS('Sales Ledger'!$D$2:$D$294,'Sales Ledger'!$A$2:$A$294,$A34,'Sales Ledger'!$C$2:$C$294,$B34)</f>
        <v/>
      </c>
      <c r="D34" s="6">
        <f>SUMIFS('Sales Ledger'!$F$2:$F$294,'Sales Ledger'!$A$2:$A$294,$A34,'Sales Ledger'!$C$2:$C$294,$B34)</f>
        <v/>
      </c>
      <c r="E34" s="6">
        <f>SUMIFS('PO Ledger'!$J$2:$J$384,'PO Ledger'!$F$2:$F$384,$A34,'PO Ledger'!$A$2:$A$384,$B34)</f>
        <v/>
      </c>
      <c r="F34" s="6">
        <f>SUMIFS('PO Ledger'!$L$2:$L$384,'PO Ledger'!$F$2:$F$384,$A34,'PO Ledger'!$A$2:$A$384,$B34)</f>
        <v/>
      </c>
      <c r="G34">
        <f>VLOOKUP($A34,$A$7:$D$14,3,0)</f>
        <v/>
      </c>
      <c r="H34" s="6">
        <f>IF(G34&gt;0,F34/G34,E34)</f>
        <v/>
      </c>
      <c r="I34" s="8">
        <f>IF(D34&gt;0,H34/D34,"")</f>
        <v/>
      </c>
      <c r="J34" s="6">
        <f>MAX(0,F34-D34*G34)</f>
        <v/>
      </c>
    </row>
    <row r="35">
      <c r="A35" t="inlineStr">
        <is>
          <t>Fresh Milk</t>
        </is>
      </c>
      <c r="B35" t="inlineStr">
        <is>
          <t>2026-07</t>
        </is>
      </c>
      <c r="C35" s="6">
        <f>SUMIFS('Sales Ledger'!$D$2:$D$294,'Sales Ledger'!$A$2:$A$294,$A35,'Sales Ledger'!$C$2:$C$294,$B35)</f>
        <v/>
      </c>
      <c r="D35" s="6">
        <f>SUMIFS('Sales Ledger'!$F$2:$F$294,'Sales Ledger'!$A$2:$A$294,$A35,'Sales Ledger'!$C$2:$C$294,$B35)</f>
        <v/>
      </c>
      <c r="E35" s="6">
        <f>SUMIFS('PO Ledger'!$J$2:$J$384,'PO Ledger'!$F$2:$F$384,$A35,'PO Ledger'!$A$2:$A$384,$B35)</f>
        <v/>
      </c>
      <c r="F35" s="6">
        <f>SUMIFS('PO Ledger'!$L$2:$L$384,'PO Ledger'!$F$2:$F$384,$A35,'PO Ledger'!$A$2:$A$384,$B35)</f>
        <v/>
      </c>
      <c r="G35">
        <f>VLOOKUP($A35,$A$7:$D$14,3,0)</f>
        <v/>
      </c>
      <c r="H35" s="6">
        <f>IF(G35&gt;0,F35/G35,E35)</f>
        <v/>
      </c>
      <c r="I35" s="8">
        <f>IF(D35&gt;0,H35/D35,"")</f>
        <v/>
      </c>
      <c r="J35" s="6">
        <f>MAX(0,F35-D35*G35)</f>
        <v/>
      </c>
    </row>
    <row r="36">
      <c r="A36" t="inlineStr">
        <is>
          <t>Brioche Sandwich</t>
        </is>
      </c>
      <c r="B36" t="inlineStr">
        <is>
          <t>2026-04</t>
        </is>
      </c>
      <c r="C36" s="6">
        <f>SUMIFS('Sales Ledger'!$D$2:$D$294,'Sales Ledger'!$A$2:$A$294,$A36,'Sales Ledger'!$C$2:$C$294,$B36)</f>
        <v/>
      </c>
      <c r="D36" s="6">
        <f>SUMIFS('Sales Ledger'!$F$2:$F$294,'Sales Ledger'!$A$2:$A$294,$A36,'Sales Ledger'!$C$2:$C$294,$B36)</f>
        <v/>
      </c>
      <c r="E36" s="6">
        <f>SUMIFS('PO Ledger'!$J$2:$J$384,'PO Ledger'!$F$2:$F$384,$A36,'PO Ledger'!$A$2:$A$384,$B36)</f>
        <v/>
      </c>
      <c r="F36" s="6">
        <f>SUMIFS('PO Ledger'!$L$2:$L$384,'PO Ledger'!$F$2:$F$384,$A36,'PO Ledger'!$A$2:$A$384,$B36)</f>
        <v/>
      </c>
      <c r="G36">
        <f>VLOOKUP($A36,$A$7:$D$14,3,0)</f>
        <v/>
      </c>
      <c r="H36" s="6">
        <f>IF(G36&gt;0,F36/G36,E36)</f>
        <v/>
      </c>
      <c r="I36" s="8">
        <f>IF(D36&gt;0,H36/D36,"")</f>
        <v/>
      </c>
      <c r="J36" s="6">
        <f>MAX(0,F36-D36*G36)</f>
        <v/>
      </c>
    </row>
    <row r="37">
      <c r="A37" t="inlineStr">
        <is>
          <t>Brioche Sandwich</t>
        </is>
      </c>
      <c r="B37" t="inlineStr">
        <is>
          <t>2026-05</t>
        </is>
      </c>
      <c r="C37" s="6">
        <f>SUMIFS('Sales Ledger'!$D$2:$D$294,'Sales Ledger'!$A$2:$A$294,$A37,'Sales Ledger'!$C$2:$C$294,$B37)</f>
        <v/>
      </c>
      <c r="D37" s="6">
        <f>SUMIFS('Sales Ledger'!$F$2:$F$294,'Sales Ledger'!$A$2:$A$294,$A37,'Sales Ledger'!$C$2:$C$294,$B37)</f>
        <v/>
      </c>
      <c r="E37" s="6">
        <f>SUMIFS('PO Ledger'!$J$2:$J$384,'PO Ledger'!$F$2:$F$384,$A37,'PO Ledger'!$A$2:$A$384,$B37)</f>
        <v/>
      </c>
      <c r="F37" s="6">
        <f>SUMIFS('PO Ledger'!$L$2:$L$384,'PO Ledger'!$F$2:$F$384,$A37,'PO Ledger'!$A$2:$A$384,$B37)</f>
        <v/>
      </c>
      <c r="G37">
        <f>VLOOKUP($A37,$A$7:$D$14,3,0)</f>
        <v/>
      </c>
      <c r="H37" s="6">
        <f>IF(G37&gt;0,F37/G37,E37)</f>
        <v/>
      </c>
      <c r="I37" s="8">
        <f>IF(D37&gt;0,H37/D37,"")</f>
        <v/>
      </c>
      <c r="J37" s="6">
        <f>MAX(0,F37-D37*G37)</f>
        <v/>
      </c>
    </row>
    <row r="38">
      <c r="A38" t="inlineStr">
        <is>
          <t>Brioche Sandwich</t>
        </is>
      </c>
      <c r="B38" t="inlineStr">
        <is>
          <t>2026-06</t>
        </is>
      </c>
      <c r="C38" s="6">
        <f>SUMIFS('Sales Ledger'!$D$2:$D$294,'Sales Ledger'!$A$2:$A$294,$A38,'Sales Ledger'!$C$2:$C$294,$B38)</f>
        <v/>
      </c>
      <c r="D38" s="6">
        <f>SUMIFS('Sales Ledger'!$F$2:$F$294,'Sales Ledger'!$A$2:$A$294,$A38,'Sales Ledger'!$C$2:$C$294,$B38)</f>
        <v/>
      </c>
      <c r="E38" s="6">
        <f>SUMIFS('PO Ledger'!$J$2:$J$384,'PO Ledger'!$F$2:$F$384,$A38,'PO Ledger'!$A$2:$A$384,$B38)</f>
        <v/>
      </c>
      <c r="F38" s="6">
        <f>SUMIFS('PO Ledger'!$L$2:$L$384,'PO Ledger'!$F$2:$F$384,$A38,'PO Ledger'!$A$2:$A$384,$B38)</f>
        <v/>
      </c>
      <c r="G38">
        <f>VLOOKUP($A38,$A$7:$D$14,3,0)</f>
        <v/>
      </c>
      <c r="H38" s="6">
        <f>IF(G38&gt;0,F38/G38,E38)</f>
        <v/>
      </c>
      <c r="I38" s="8">
        <f>IF(D38&gt;0,H38/D38,"")</f>
        <v/>
      </c>
      <c r="J38" s="6">
        <f>MAX(0,F38-D38*G38)</f>
        <v/>
      </c>
    </row>
    <row r="39">
      <c r="A39" t="inlineStr">
        <is>
          <t>Brioche Sandwich</t>
        </is>
      </c>
      <c r="B39" t="inlineStr">
        <is>
          <t>2026-07</t>
        </is>
      </c>
      <c r="C39" s="6">
        <f>SUMIFS('Sales Ledger'!$D$2:$D$294,'Sales Ledger'!$A$2:$A$294,$A39,'Sales Ledger'!$C$2:$C$294,$B39)</f>
        <v/>
      </c>
      <c r="D39" s="6">
        <f>SUMIFS('Sales Ledger'!$F$2:$F$294,'Sales Ledger'!$A$2:$A$294,$A39,'Sales Ledger'!$C$2:$C$294,$B39)</f>
        <v/>
      </c>
      <c r="E39" s="6">
        <f>SUMIFS('PO Ledger'!$J$2:$J$384,'PO Ledger'!$F$2:$F$384,$A39,'PO Ledger'!$A$2:$A$384,$B39)</f>
        <v/>
      </c>
      <c r="F39" s="6">
        <f>SUMIFS('PO Ledger'!$L$2:$L$384,'PO Ledger'!$F$2:$F$384,$A39,'PO Ledger'!$A$2:$A$384,$B39)</f>
        <v/>
      </c>
      <c r="G39">
        <f>VLOOKUP($A39,$A$7:$D$14,3,0)</f>
        <v/>
      </c>
      <c r="H39" s="6">
        <f>IF(G39&gt;0,F39/G39,E39)</f>
        <v/>
      </c>
      <c r="I39" s="8">
        <f>IF(D39&gt;0,H39/D39,"")</f>
        <v/>
      </c>
      <c r="J39" s="6">
        <f>MAX(0,F39-D39*G39)</f>
        <v/>
      </c>
    </row>
    <row r="40">
      <c r="A40" t="inlineStr">
        <is>
          <t>Telur Omega</t>
        </is>
      </c>
      <c r="B40" t="inlineStr">
        <is>
          <t>2026-04</t>
        </is>
      </c>
      <c r="C40" s="6">
        <f>SUMIFS('Sales Ledger'!$D$2:$D$294,'Sales Ledger'!$A$2:$A$294,$A40,'Sales Ledger'!$C$2:$C$294,$B40)</f>
        <v/>
      </c>
      <c r="D40" s="6">
        <f>SUMIFS('Sales Ledger'!$F$2:$F$294,'Sales Ledger'!$A$2:$A$294,$A40,'Sales Ledger'!$C$2:$C$294,$B40)</f>
        <v/>
      </c>
      <c r="E40" s="6">
        <f>SUMIFS('PO Ledger'!$J$2:$J$384,'PO Ledger'!$F$2:$F$384,$A40,'PO Ledger'!$A$2:$A$384,$B40)</f>
        <v/>
      </c>
      <c r="F40" s="6">
        <f>SUMIFS('PO Ledger'!$L$2:$L$384,'PO Ledger'!$F$2:$F$384,$A40,'PO Ledger'!$A$2:$A$384,$B40)</f>
        <v/>
      </c>
      <c r="G40">
        <f>VLOOKUP($A40,$A$7:$D$14,3,0)</f>
        <v/>
      </c>
      <c r="H40" s="6">
        <f>IF(G40&gt;0,F40/G40,E40)</f>
        <v/>
      </c>
      <c r="I40" s="8">
        <f>IF(D40&gt;0,H40/D40,"")</f>
        <v/>
      </c>
      <c r="J40" s="6">
        <f>MAX(0,F40-D40*G40)</f>
        <v/>
      </c>
    </row>
    <row r="41">
      <c r="A41" t="inlineStr">
        <is>
          <t>Telur Omega</t>
        </is>
      </c>
      <c r="B41" t="inlineStr">
        <is>
          <t>2026-05</t>
        </is>
      </c>
      <c r="C41" s="6">
        <f>SUMIFS('Sales Ledger'!$D$2:$D$294,'Sales Ledger'!$A$2:$A$294,$A41,'Sales Ledger'!$C$2:$C$294,$B41)</f>
        <v/>
      </c>
      <c r="D41" s="6">
        <f>SUMIFS('Sales Ledger'!$F$2:$F$294,'Sales Ledger'!$A$2:$A$294,$A41,'Sales Ledger'!$C$2:$C$294,$B41)</f>
        <v/>
      </c>
      <c r="E41" s="6">
        <f>SUMIFS('PO Ledger'!$J$2:$J$384,'PO Ledger'!$F$2:$F$384,$A41,'PO Ledger'!$A$2:$A$384,$B41)</f>
        <v/>
      </c>
      <c r="F41" s="6">
        <f>SUMIFS('PO Ledger'!$L$2:$L$384,'PO Ledger'!$F$2:$F$384,$A41,'PO Ledger'!$A$2:$A$384,$B41)</f>
        <v/>
      </c>
      <c r="G41">
        <f>VLOOKUP($A41,$A$7:$D$14,3,0)</f>
        <v/>
      </c>
      <c r="H41" s="6">
        <f>IF(G41&gt;0,F41/G41,E41)</f>
        <v/>
      </c>
      <c r="I41" s="8">
        <f>IF(D41&gt;0,H41/D41,"")</f>
        <v/>
      </c>
      <c r="J41" s="6">
        <f>MAX(0,F41-D41*G41)</f>
        <v/>
      </c>
    </row>
    <row r="42">
      <c r="A42" t="inlineStr">
        <is>
          <t>Telur Omega</t>
        </is>
      </c>
      <c r="B42" t="inlineStr">
        <is>
          <t>2026-06</t>
        </is>
      </c>
      <c r="C42" s="6">
        <f>SUMIFS('Sales Ledger'!$D$2:$D$294,'Sales Ledger'!$A$2:$A$294,$A42,'Sales Ledger'!$C$2:$C$294,$B42)</f>
        <v/>
      </c>
      <c r="D42" s="6">
        <f>SUMIFS('Sales Ledger'!$F$2:$F$294,'Sales Ledger'!$A$2:$A$294,$A42,'Sales Ledger'!$C$2:$C$294,$B42)</f>
        <v/>
      </c>
      <c r="E42" s="6">
        <f>SUMIFS('PO Ledger'!$J$2:$J$384,'PO Ledger'!$F$2:$F$384,$A42,'PO Ledger'!$A$2:$A$384,$B42)</f>
        <v/>
      </c>
      <c r="F42" s="6">
        <f>SUMIFS('PO Ledger'!$L$2:$L$384,'PO Ledger'!$F$2:$F$384,$A42,'PO Ledger'!$A$2:$A$384,$B42)</f>
        <v/>
      </c>
      <c r="G42">
        <f>VLOOKUP($A42,$A$7:$D$14,3,0)</f>
        <v/>
      </c>
      <c r="H42" s="6">
        <f>IF(G42&gt;0,F42/G42,E42)</f>
        <v/>
      </c>
      <c r="I42" s="8">
        <f>IF(D42&gt;0,H42/D42,"")</f>
        <v/>
      </c>
      <c r="J42" s="6">
        <f>MAX(0,F42-D42*G42)</f>
        <v/>
      </c>
    </row>
    <row r="43">
      <c r="A43" t="inlineStr">
        <is>
          <t>Telur Omega</t>
        </is>
      </c>
      <c r="B43" t="inlineStr">
        <is>
          <t>2026-07</t>
        </is>
      </c>
      <c r="C43" s="6">
        <f>SUMIFS('Sales Ledger'!$D$2:$D$294,'Sales Ledger'!$A$2:$A$294,$A43,'Sales Ledger'!$C$2:$C$294,$B43)</f>
        <v/>
      </c>
      <c r="D43" s="6">
        <f>SUMIFS('Sales Ledger'!$F$2:$F$294,'Sales Ledger'!$A$2:$A$294,$A43,'Sales Ledger'!$C$2:$C$294,$B43)</f>
        <v/>
      </c>
      <c r="E43" s="6">
        <f>SUMIFS('PO Ledger'!$J$2:$J$384,'PO Ledger'!$F$2:$F$384,$A43,'PO Ledger'!$A$2:$A$384,$B43)</f>
        <v/>
      </c>
      <c r="F43" s="6">
        <f>SUMIFS('PO Ledger'!$L$2:$L$384,'PO Ledger'!$F$2:$F$384,$A43,'PO Ledger'!$A$2:$A$384,$B43)</f>
        <v/>
      </c>
      <c r="G43">
        <f>VLOOKUP($A43,$A$7:$D$14,3,0)</f>
        <v/>
      </c>
      <c r="H43" s="6">
        <f>IF(G43&gt;0,F43/G43,E43)</f>
        <v/>
      </c>
      <c r="I43" s="8">
        <f>IF(D43&gt;0,H43/D43,"")</f>
        <v/>
      </c>
      <c r="J43" s="6">
        <f>MAX(0,F43-D43*G43)</f>
        <v/>
      </c>
    </row>
    <row r="44">
      <c r="A44" t="inlineStr">
        <is>
          <t>Burnt Cheesecake</t>
        </is>
      </c>
      <c r="B44" t="inlineStr">
        <is>
          <t>2026-04</t>
        </is>
      </c>
      <c r="C44" s="6">
        <f>SUMIFS('Sales Ledger'!$D$2:$D$294,'Sales Ledger'!$A$2:$A$294,$A44,'Sales Ledger'!$C$2:$C$294,$B44)</f>
        <v/>
      </c>
      <c r="D44" s="6">
        <f>SUMIFS('Sales Ledger'!$F$2:$F$294,'Sales Ledger'!$A$2:$A$294,$A44,'Sales Ledger'!$C$2:$C$294,$B44)</f>
        <v/>
      </c>
      <c r="E44" s="6">
        <f>SUMIFS('PO Ledger'!$J$2:$J$384,'PO Ledger'!$F$2:$F$384,$A44,'PO Ledger'!$A$2:$A$384,$B44)</f>
        <v/>
      </c>
      <c r="F44" s="6">
        <f>SUMIFS('PO Ledger'!$L$2:$L$384,'PO Ledger'!$F$2:$F$384,$A44,'PO Ledger'!$A$2:$A$384,$B44)</f>
        <v/>
      </c>
      <c r="G44">
        <f>VLOOKUP($A44,$A$7:$D$14,3,0)</f>
        <v/>
      </c>
      <c r="H44" s="6">
        <f>IF(G44&gt;0,F44/G44,E44)</f>
        <v/>
      </c>
      <c r="I44" s="8">
        <f>IF(D44&gt;0,H44/D44,"")</f>
        <v/>
      </c>
      <c r="J44" s="6">
        <f>MAX(0,F44-D44*G44)</f>
        <v/>
      </c>
    </row>
    <row r="45">
      <c r="A45" t="inlineStr">
        <is>
          <t>Burnt Cheesecake</t>
        </is>
      </c>
      <c r="B45" t="inlineStr">
        <is>
          <t>2026-05</t>
        </is>
      </c>
      <c r="C45" s="6">
        <f>SUMIFS('Sales Ledger'!$D$2:$D$294,'Sales Ledger'!$A$2:$A$294,$A45,'Sales Ledger'!$C$2:$C$294,$B45)</f>
        <v/>
      </c>
      <c r="D45" s="6">
        <f>SUMIFS('Sales Ledger'!$F$2:$F$294,'Sales Ledger'!$A$2:$A$294,$A45,'Sales Ledger'!$C$2:$C$294,$B45)</f>
        <v/>
      </c>
      <c r="E45" s="6">
        <f>SUMIFS('PO Ledger'!$J$2:$J$384,'PO Ledger'!$F$2:$F$384,$A45,'PO Ledger'!$A$2:$A$384,$B45)</f>
        <v/>
      </c>
      <c r="F45" s="6">
        <f>SUMIFS('PO Ledger'!$L$2:$L$384,'PO Ledger'!$F$2:$F$384,$A45,'PO Ledger'!$A$2:$A$384,$B45)</f>
        <v/>
      </c>
      <c r="G45">
        <f>VLOOKUP($A45,$A$7:$D$14,3,0)</f>
        <v/>
      </c>
      <c r="H45" s="6">
        <f>IF(G45&gt;0,F45/G45,E45)</f>
        <v/>
      </c>
      <c r="I45" s="8">
        <f>IF(D45&gt;0,H45/D45,"")</f>
        <v/>
      </c>
      <c r="J45" s="6">
        <f>MAX(0,F45-D45*G45)</f>
        <v/>
      </c>
    </row>
    <row r="46">
      <c r="A46" t="inlineStr">
        <is>
          <t>Burnt Cheesecake</t>
        </is>
      </c>
      <c r="B46" t="inlineStr">
        <is>
          <t>2026-06</t>
        </is>
      </c>
      <c r="C46" s="6">
        <f>SUMIFS('Sales Ledger'!$D$2:$D$294,'Sales Ledger'!$A$2:$A$294,$A46,'Sales Ledger'!$C$2:$C$294,$B46)</f>
        <v/>
      </c>
      <c r="D46" s="6">
        <f>SUMIFS('Sales Ledger'!$F$2:$F$294,'Sales Ledger'!$A$2:$A$294,$A46,'Sales Ledger'!$C$2:$C$294,$B46)</f>
        <v/>
      </c>
      <c r="E46" s="6">
        <f>SUMIFS('PO Ledger'!$J$2:$J$384,'PO Ledger'!$F$2:$F$384,$A46,'PO Ledger'!$A$2:$A$384,$B46)</f>
        <v/>
      </c>
      <c r="F46" s="6">
        <f>SUMIFS('PO Ledger'!$L$2:$L$384,'PO Ledger'!$F$2:$F$384,$A46,'PO Ledger'!$A$2:$A$384,$B46)</f>
        <v/>
      </c>
      <c r="G46">
        <f>VLOOKUP($A46,$A$7:$D$14,3,0)</f>
        <v/>
      </c>
      <c r="H46" s="6">
        <f>IF(G46&gt;0,F46/G46,E46)</f>
        <v/>
      </c>
      <c r="I46" s="8">
        <f>IF(D46&gt;0,H46/D46,"")</f>
        <v/>
      </c>
      <c r="J46" s="6">
        <f>MAX(0,F46-D46*G46)</f>
        <v/>
      </c>
    </row>
    <row r="47">
      <c r="A47" t="inlineStr">
        <is>
          <t>Burnt Cheesecake</t>
        </is>
      </c>
      <c r="B47" t="inlineStr">
        <is>
          <t>2026-07</t>
        </is>
      </c>
      <c r="C47" s="6">
        <f>SUMIFS('Sales Ledger'!$D$2:$D$294,'Sales Ledger'!$A$2:$A$294,$A47,'Sales Ledger'!$C$2:$C$294,$B47)</f>
        <v/>
      </c>
      <c r="D47" s="6">
        <f>SUMIFS('Sales Ledger'!$F$2:$F$294,'Sales Ledger'!$A$2:$A$294,$A47,'Sales Ledger'!$C$2:$C$294,$B47)</f>
        <v/>
      </c>
      <c r="E47" s="6">
        <f>SUMIFS('PO Ledger'!$J$2:$J$384,'PO Ledger'!$F$2:$F$384,$A47,'PO Ledger'!$A$2:$A$384,$B47)</f>
        <v/>
      </c>
      <c r="F47" s="6">
        <f>SUMIFS('PO Ledger'!$L$2:$L$384,'PO Ledger'!$F$2:$F$384,$A47,'PO Ledger'!$A$2:$A$384,$B47)</f>
        <v/>
      </c>
      <c r="G47">
        <f>VLOOKUP($A47,$A$7:$D$14,3,0)</f>
        <v/>
      </c>
      <c r="H47" s="6">
        <f>IF(G47&gt;0,F47/G47,E47)</f>
        <v/>
      </c>
      <c r="I47" s="8">
        <f>IF(D47&gt;0,H47/D47,"")</f>
        <v/>
      </c>
      <c r="J47" s="6">
        <f>MAX(0,F47-D47*G47)</f>
        <v/>
      </c>
    </row>
    <row r="48">
      <c r="A48" t="inlineStr">
        <is>
          <t>Salted Croissant</t>
        </is>
      </c>
      <c r="B48" t="inlineStr">
        <is>
          <t>2026-04</t>
        </is>
      </c>
      <c r="C48" s="6">
        <f>SUMIFS('Sales Ledger'!$D$2:$D$294,'Sales Ledger'!$A$2:$A$294,$A48,'Sales Ledger'!$C$2:$C$294,$B48)</f>
        <v/>
      </c>
      <c r="D48" s="6">
        <f>SUMIFS('Sales Ledger'!$F$2:$F$294,'Sales Ledger'!$A$2:$A$294,$A48,'Sales Ledger'!$C$2:$C$294,$B48)</f>
        <v/>
      </c>
      <c r="E48" s="6">
        <f>SUMIFS('PO Ledger'!$J$2:$J$384,'PO Ledger'!$F$2:$F$384,$A48,'PO Ledger'!$A$2:$A$384,$B48)</f>
        <v/>
      </c>
      <c r="F48" s="6">
        <f>SUMIFS('PO Ledger'!$L$2:$L$384,'PO Ledger'!$F$2:$F$384,$A48,'PO Ledger'!$A$2:$A$384,$B48)</f>
        <v/>
      </c>
      <c r="G48">
        <f>VLOOKUP($A48,$A$7:$D$14,3,0)</f>
        <v/>
      </c>
      <c r="H48" s="6">
        <f>IF(G48&gt;0,F48/G48,E48)</f>
        <v/>
      </c>
      <c r="I48" s="8">
        <f>IF(D48&gt;0,H48/D48,"")</f>
        <v/>
      </c>
      <c r="J48" s="6">
        <f>MAX(0,F48-D48*G48)</f>
        <v/>
      </c>
    </row>
    <row r="49">
      <c r="A49" t="inlineStr">
        <is>
          <t>Salted Croissant</t>
        </is>
      </c>
      <c r="B49" t="inlineStr">
        <is>
          <t>2026-05</t>
        </is>
      </c>
      <c r="C49" s="6">
        <f>SUMIFS('Sales Ledger'!$D$2:$D$294,'Sales Ledger'!$A$2:$A$294,$A49,'Sales Ledger'!$C$2:$C$294,$B49)</f>
        <v/>
      </c>
      <c r="D49" s="6">
        <f>SUMIFS('Sales Ledger'!$F$2:$F$294,'Sales Ledger'!$A$2:$A$294,$A49,'Sales Ledger'!$C$2:$C$294,$B49)</f>
        <v/>
      </c>
      <c r="E49" s="6">
        <f>SUMIFS('PO Ledger'!$J$2:$J$384,'PO Ledger'!$F$2:$F$384,$A49,'PO Ledger'!$A$2:$A$384,$B49)</f>
        <v/>
      </c>
      <c r="F49" s="6">
        <f>SUMIFS('PO Ledger'!$L$2:$L$384,'PO Ledger'!$F$2:$F$384,$A49,'PO Ledger'!$A$2:$A$384,$B49)</f>
        <v/>
      </c>
      <c r="G49">
        <f>VLOOKUP($A49,$A$7:$D$14,3,0)</f>
        <v/>
      </c>
      <c r="H49" s="6">
        <f>IF(G49&gt;0,F49/G49,E49)</f>
        <v/>
      </c>
      <c r="I49" s="8">
        <f>IF(D49&gt;0,H49/D49,"")</f>
        <v/>
      </c>
      <c r="J49" s="6">
        <f>MAX(0,F49-D49*G49)</f>
        <v/>
      </c>
    </row>
    <row r="50">
      <c r="A50" t="inlineStr">
        <is>
          <t>Salted Croissant</t>
        </is>
      </c>
      <c r="B50" t="inlineStr">
        <is>
          <t>2026-06</t>
        </is>
      </c>
      <c r="C50" s="6">
        <f>SUMIFS('Sales Ledger'!$D$2:$D$294,'Sales Ledger'!$A$2:$A$294,$A50,'Sales Ledger'!$C$2:$C$294,$B50)</f>
        <v/>
      </c>
      <c r="D50" s="6">
        <f>SUMIFS('Sales Ledger'!$F$2:$F$294,'Sales Ledger'!$A$2:$A$294,$A50,'Sales Ledger'!$C$2:$C$294,$B50)</f>
        <v/>
      </c>
      <c r="E50" s="6">
        <f>SUMIFS('PO Ledger'!$J$2:$J$384,'PO Ledger'!$F$2:$F$384,$A50,'PO Ledger'!$A$2:$A$384,$B50)</f>
        <v/>
      </c>
      <c r="F50" s="6">
        <f>SUMIFS('PO Ledger'!$L$2:$L$384,'PO Ledger'!$F$2:$F$384,$A50,'PO Ledger'!$A$2:$A$384,$B50)</f>
        <v/>
      </c>
      <c r="G50">
        <f>VLOOKUP($A50,$A$7:$D$14,3,0)</f>
        <v/>
      </c>
      <c r="H50" s="6">
        <f>IF(G50&gt;0,F50/G50,E50)</f>
        <v/>
      </c>
      <c r="I50" s="8">
        <f>IF(D50&gt;0,H50/D50,"")</f>
        <v/>
      </c>
      <c r="J50" s="6">
        <f>MAX(0,F50-D50*G50)</f>
        <v/>
      </c>
    </row>
    <row r="51">
      <c r="A51" t="inlineStr">
        <is>
          <t>Salted Croissant</t>
        </is>
      </c>
      <c r="B51" t="inlineStr">
        <is>
          <t>2026-07</t>
        </is>
      </c>
      <c r="C51" s="6">
        <f>SUMIFS('Sales Ledger'!$D$2:$D$294,'Sales Ledger'!$A$2:$A$294,$A51,'Sales Ledger'!$C$2:$C$294,$B51)</f>
        <v/>
      </c>
      <c r="D51" s="6">
        <f>SUMIFS('Sales Ledger'!$F$2:$F$294,'Sales Ledger'!$A$2:$A$294,$A51,'Sales Ledger'!$C$2:$C$294,$B51)</f>
        <v/>
      </c>
      <c r="E51" s="6">
        <f>SUMIFS('PO Ledger'!$J$2:$J$384,'PO Ledger'!$F$2:$F$384,$A51,'PO Ledger'!$A$2:$A$384,$B51)</f>
        <v/>
      </c>
      <c r="F51" s="6">
        <f>SUMIFS('PO Ledger'!$L$2:$L$384,'PO Ledger'!$F$2:$F$384,$A51,'PO Ledger'!$A$2:$A$384,$B51)</f>
        <v/>
      </c>
      <c r="G51">
        <f>VLOOKUP($A51,$A$7:$D$14,3,0)</f>
        <v/>
      </c>
      <c r="H51" s="6">
        <f>IF(G51&gt;0,F51/G51,E51)</f>
        <v/>
      </c>
      <c r="I51" s="8">
        <f>IF(D51&gt;0,H51/D51,"")</f>
        <v/>
      </c>
      <c r="J51" s="6">
        <f>MAX(0,F51-D51*G51)</f>
        <v/>
      </c>
    </row>
    <row r="52">
      <c r="A52" t="inlineStr">
        <is>
          <t>Udang</t>
        </is>
      </c>
      <c r="B52" t="inlineStr">
        <is>
          <t>2026-04</t>
        </is>
      </c>
      <c r="C52" s="6">
        <f>SUMIFS('Sales Ledger'!$D$2:$D$294,'Sales Ledger'!$A$2:$A$294,$A52,'Sales Ledger'!$C$2:$C$294,$B52)</f>
        <v/>
      </c>
      <c r="D52" s="6">
        <f>SUMIFS('Sales Ledger'!$F$2:$F$294,'Sales Ledger'!$A$2:$A$294,$A52,'Sales Ledger'!$C$2:$C$294,$B52)</f>
        <v/>
      </c>
      <c r="E52" s="6">
        <f>SUMIFS('PO Ledger'!$J$2:$J$384,'PO Ledger'!$F$2:$F$384,$A52,'PO Ledger'!$A$2:$A$384,$B52)</f>
        <v/>
      </c>
      <c r="F52" s="6">
        <f>SUMIFS('PO Ledger'!$L$2:$L$384,'PO Ledger'!$F$2:$F$384,$A52,'PO Ledger'!$A$2:$A$384,$B52)</f>
        <v/>
      </c>
      <c r="G52">
        <f>VLOOKUP($A52,$A$7:$D$14,3,0)</f>
        <v/>
      </c>
      <c r="H52" s="6">
        <f>IF(G52&gt;0,F52/G52,E52)</f>
        <v/>
      </c>
      <c r="I52" s="8">
        <f>IF(D52&gt;0,H52/D52,"")</f>
        <v/>
      </c>
      <c r="J52" s="6">
        <f>MAX(0,F52-D52*G52)</f>
        <v/>
      </c>
    </row>
    <row r="53">
      <c r="A53" t="inlineStr">
        <is>
          <t>Udang</t>
        </is>
      </c>
      <c r="B53" t="inlineStr">
        <is>
          <t>2026-05</t>
        </is>
      </c>
      <c r="C53" s="6">
        <f>SUMIFS('Sales Ledger'!$D$2:$D$294,'Sales Ledger'!$A$2:$A$294,$A53,'Sales Ledger'!$C$2:$C$294,$B53)</f>
        <v/>
      </c>
      <c r="D53" s="6">
        <f>SUMIFS('Sales Ledger'!$F$2:$F$294,'Sales Ledger'!$A$2:$A$294,$A53,'Sales Ledger'!$C$2:$C$294,$B53)</f>
        <v/>
      </c>
      <c r="E53" s="6">
        <f>SUMIFS('PO Ledger'!$J$2:$J$384,'PO Ledger'!$F$2:$F$384,$A53,'PO Ledger'!$A$2:$A$384,$B53)</f>
        <v/>
      </c>
      <c r="F53" s="6">
        <f>SUMIFS('PO Ledger'!$L$2:$L$384,'PO Ledger'!$F$2:$F$384,$A53,'PO Ledger'!$A$2:$A$384,$B53)</f>
        <v/>
      </c>
      <c r="G53">
        <f>VLOOKUP($A53,$A$7:$D$14,3,0)</f>
        <v/>
      </c>
      <c r="H53" s="6">
        <f>IF(G53&gt;0,F53/G53,E53)</f>
        <v/>
      </c>
      <c r="I53" s="8">
        <f>IF(D53&gt;0,H53/D53,"")</f>
        <v/>
      </c>
      <c r="J53" s="6">
        <f>MAX(0,F53-D53*G53)</f>
        <v/>
      </c>
    </row>
    <row r="54">
      <c r="A54" t="inlineStr">
        <is>
          <t>Udang</t>
        </is>
      </c>
      <c r="B54" t="inlineStr">
        <is>
          <t>2026-06</t>
        </is>
      </c>
      <c r="C54" s="6">
        <f>SUMIFS('Sales Ledger'!$D$2:$D$294,'Sales Ledger'!$A$2:$A$294,$A54,'Sales Ledger'!$C$2:$C$294,$B54)</f>
        <v/>
      </c>
      <c r="D54" s="6">
        <f>SUMIFS('Sales Ledger'!$F$2:$F$294,'Sales Ledger'!$A$2:$A$294,$A54,'Sales Ledger'!$C$2:$C$294,$B54)</f>
        <v/>
      </c>
      <c r="E54" s="6">
        <f>SUMIFS('PO Ledger'!$J$2:$J$384,'PO Ledger'!$F$2:$F$384,$A54,'PO Ledger'!$A$2:$A$384,$B54)</f>
        <v/>
      </c>
      <c r="F54" s="6">
        <f>SUMIFS('PO Ledger'!$L$2:$L$384,'PO Ledger'!$F$2:$F$384,$A54,'PO Ledger'!$A$2:$A$384,$B54)</f>
        <v/>
      </c>
      <c r="G54">
        <f>VLOOKUP($A54,$A$7:$D$14,3,0)</f>
        <v/>
      </c>
      <c r="H54" s="6">
        <f>IF(G54&gt;0,F54/G54,E54)</f>
        <v/>
      </c>
      <c r="I54" s="8">
        <f>IF(D54&gt;0,H54/D54,"")</f>
        <v/>
      </c>
      <c r="J54" s="6">
        <f>MAX(0,F54-D54*G54)</f>
        <v/>
      </c>
    </row>
    <row r="55">
      <c r="A55" t="inlineStr">
        <is>
          <t>Udang</t>
        </is>
      </c>
      <c r="B55" t="inlineStr">
        <is>
          <t>2026-07</t>
        </is>
      </c>
      <c r="C55" s="6">
        <f>SUMIFS('Sales Ledger'!$D$2:$D$294,'Sales Ledger'!$A$2:$A$294,$A55,'Sales Ledger'!$C$2:$C$294,$B55)</f>
        <v/>
      </c>
      <c r="D55" s="6">
        <f>SUMIFS('Sales Ledger'!$F$2:$F$294,'Sales Ledger'!$A$2:$A$294,$A55,'Sales Ledger'!$C$2:$C$294,$B55)</f>
        <v/>
      </c>
      <c r="E55" s="6">
        <f>SUMIFS('PO Ledger'!$J$2:$J$384,'PO Ledger'!$F$2:$F$384,$A55,'PO Ledger'!$A$2:$A$384,$B55)</f>
        <v/>
      </c>
      <c r="F55" s="6">
        <f>SUMIFS('PO Ledger'!$L$2:$L$384,'PO Ledger'!$F$2:$F$384,$A55,'PO Ledger'!$A$2:$A$384,$B55)</f>
        <v/>
      </c>
      <c r="G55">
        <f>VLOOKUP($A55,$A$7:$D$14,3,0)</f>
        <v/>
      </c>
      <c r="H55" s="6">
        <f>IF(G55&gt;0,F55/G55,E55)</f>
        <v/>
      </c>
      <c r="I55" s="8">
        <f>IF(D55&gt;0,H55/D55,"")</f>
        <v/>
      </c>
      <c r="J55" s="6">
        <f>MAX(0,F55-D55*G55)</f>
        <v/>
      </c>
    </row>
    <row r="56">
      <c r="A56" t="inlineStr">
        <is>
          <t>Pull Lamb</t>
        </is>
      </c>
      <c r="B56" t="inlineStr">
        <is>
          <t>2026-04</t>
        </is>
      </c>
      <c r="C56" s="6">
        <f>SUMIFS('Sales Ledger'!$D$2:$D$294,'Sales Ledger'!$A$2:$A$294,$A56,'Sales Ledger'!$C$2:$C$294,$B56)</f>
        <v/>
      </c>
      <c r="D56" s="6">
        <f>SUMIFS('Sales Ledger'!$F$2:$F$294,'Sales Ledger'!$A$2:$A$294,$A56,'Sales Ledger'!$C$2:$C$294,$B56)</f>
        <v/>
      </c>
      <c r="E56" s="6">
        <f>SUMIFS('PO Ledger'!$J$2:$J$384,'PO Ledger'!$F$2:$F$384,$A56,'PO Ledger'!$A$2:$A$384,$B56)</f>
        <v/>
      </c>
      <c r="F56" s="6">
        <f>SUMIFS('PO Ledger'!$L$2:$L$384,'PO Ledger'!$F$2:$F$384,$A56,'PO Ledger'!$A$2:$A$384,$B56)</f>
        <v/>
      </c>
      <c r="G56">
        <f>VLOOKUP($A56,$A$7:$D$14,3,0)</f>
        <v/>
      </c>
      <c r="H56" s="6">
        <f>IF(G56&gt;0,F56/G56,E56)</f>
        <v/>
      </c>
      <c r="I56" s="8">
        <f>IF(D56&gt;0,H56/D56,"")</f>
        <v/>
      </c>
      <c r="J56" s="6">
        <f>MAX(0,F56-D56*G56)</f>
        <v/>
      </c>
    </row>
    <row r="57">
      <c r="A57" t="inlineStr">
        <is>
          <t>Pull Lamb</t>
        </is>
      </c>
      <c r="B57" t="inlineStr">
        <is>
          <t>2026-05</t>
        </is>
      </c>
      <c r="C57" s="6">
        <f>SUMIFS('Sales Ledger'!$D$2:$D$294,'Sales Ledger'!$A$2:$A$294,$A57,'Sales Ledger'!$C$2:$C$294,$B57)</f>
        <v/>
      </c>
      <c r="D57" s="6">
        <f>SUMIFS('Sales Ledger'!$F$2:$F$294,'Sales Ledger'!$A$2:$A$294,$A57,'Sales Ledger'!$C$2:$C$294,$B57)</f>
        <v/>
      </c>
      <c r="E57" s="6">
        <f>SUMIFS('PO Ledger'!$J$2:$J$384,'PO Ledger'!$F$2:$F$384,$A57,'PO Ledger'!$A$2:$A$384,$B57)</f>
        <v/>
      </c>
      <c r="F57" s="6">
        <f>SUMIFS('PO Ledger'!$L$2:$L$384,'PO Ledger'!$F$2:$F$384,$A57,'PO Ledger'!$A$2:$A$384,$B57)</f>
        <v/>
      </c>
      <c r="G57">
        <f>VLOOKUP($A57,$A$7:$D$14,3,0)</f>
        <v/>
      </c>
      <c r="H57" s="6">
        <f>IF(G57&gt;0,F57/G57,E57)</f>
        <v/>
      </c>
      <c r="I57" s="8">
        <f>IF(D57&gt;0,H57/D57,"")</f>
        <v/>
      </c>
      <c r="J57" s="6">
        <f>MAX(0,F57-D57*G57)</f>
        <v/>
      </c>
    </row>
    <row r="58">
      <c r="A58" t="inlineStr">
        <is>
          <t>Pull Lamb</t>
        </is>
      </c>
      <c r="B58" t="inlineStr">
        <is>
          <t>2026-06</t>
        </is>
      </c>
      <c r="C58" s="6">
        <f>SUMIFS('Sales Ledger'!$D$2:$D$294,'Sales Ledger'!$A$2:$A$294,$A58,'Sales Ledger'!$C$2:$C$294,$B58)</f>
        <v/>
      </c>
      <c r="D58" s="6">
        <f>SUMIFS('Sales Ledger'!$F$2:$F$294,'Sales Ledger'!$A$2:$A$294,$A58,'Sales Ledger'!$C$2:$C$294,$B58)</f>
        <v/>
      </c>
      <c r="E58" s="6">
        <f>SUMIFS('PO Ledger'!$J$2:$J$384,'PO Ledger'!$F$2:$F$384,$A58,'PO Ledger'!$A$2:$A$384,$B58)</f>
        <v/>
      </c>
      <c r="F58" s="6">
        <f>SUMIFS('PO Ledger'!$L$2:$L$384,'PO Ledger'!$F$2:$F$384,$A58,'PO Ledger'!$A$2:$A$384,$B58)</f>
        <v/>
      </c>
      <c r="G58">
        <f>VLOOKUP($A58,$A$7:$D$14,3,0)</f>
        <v/>
      </c>
      <c r="H58" s="6">
        <f>IF(G58&gt;0,F58/G58,E58)</f>
        <v/>
      </c>
      <c r="I58" s="8">
        <f>IF(D58&gt;0,H58/D58,"")</f>
        <v/>
      </c>
      <c r="J58" s="6">
        <f>MAX(0,F58-D58*G58)</f>
        <v/>
      </c>
    </row>
    <row r="59">
      <c r="A59" t="inlineStr">
        <is>
          <t>Pull Lamb</t>
        </is>
      </c>
      <c r="B59" t="inlineStr">
        <is>
          <t>2026-07</t>
        </is>
      </c>
      <c r="C59" s="6">
        <f>SUMIFS('Sales Ledger'!$D$2:$D$294,'Sales Ledger'!$A$2:$A$294,$A59,'Sales Ledger'!$C$2:$C$294,$B59)</f>
        <v/>
      </c>
      <c r="D59" s="6">
        <f>SUMIFS('Sales Ledger'!$F$2:$F$294,'Sales Ledger'!$A$2:$A$294,$A59,'Sales Ledger'!$C$2:$C$294,$B59)</f>
        <v/>
      </c>
      <c r="E59" s="6">
        <f>SUMIFS('PO Ledger'!$J$2:$J$384,'PO Ledger'!$F$2:$F$384,$A59,'PO Ledger'!$A$2:$A$384,$B59)</f>
        <v/>
      </c>
      <c r="F59" s="6">
        <f>SUMIFS('PO Ledger'!$L$2:$L$384,'PO Ledger'!$F$2:$F$384,$A59,'PO Ledger'!$A$2:$A$384,$B59)</f>
        <v/>
      </c>
      <c r="G59">
        <f>VLOOKUP($A59,$A$7:$D$14,3,0)</f>
        <v/>
      </c>
      <c r="H59" s="6">
        <f>IF(G59&gt;0,F59/G59,E59)</f>
        <v/>
      </c>
      <c r="I59" s="8">
        <f>IF(D59&gt;0,H59/D59,"")</f>
        <v/>
      </c>
      <c r="J59" s="6">
        <f>MAX(0,F59-D59*G59)</f>
        <v/>
      </c>
    </row>
    <row r="61">
      <c r="A61" s="2" t="inlineStr">
        <is>
          <t>4. CUMULATIVE APR-JUL (auto; April POs undercount - system adoption)</t>
        </is>
      </c>
    </row>
    <row r="62">
      <c r="A62" s="3" t="inlineStr">
        <is>
          <t>Ingredient</t>
        </is>
      </c>
      <c r="B62" s="3" t="inlineStr">
        <is>
          <t>Expected</t>
        </is>
      </c>
      <c r="C62" s="3" t="inlineStr">
        <is>
          <t>Purchased @true</t>
        </is>
      </c>
      <c r="D62" s="3" t="inlineStr">
        <is>
          <t>Spend RM</t>
        </is>
      </c>
      <c r="E62" s="3" t="inlineStr">
        <is>
          <t>Ratio</t>
        </is>
      </c>
      <c r="F62" s="3" t="inlineStr">
        <is>
          <t>Excess RM</t>
        </is>
      </c>
      <c r="G62" s="3" t="inlineStr">
        <is>
          <t>Excess/month</t>
        </is>
      </c>
    </row>
    <row r="63">
      <c r="A63" t="inlineStr">
        <is>
          <t>Home Blend (Collective)</t>
        </is>
      </c>
      <c r="B63" s="6">
        <f>SUMIFS($D$28:$D$59,$A$28:$A$59,$A63)</f>
        <v/>
      </c>
      <c r="C63" s="6">
        <f>SUMIFS($H$28:$H$59,$A$28:$A$59,$A63)</f>
        <v/>
      </c>
      <c r="D63" s="6">
        <f>SUMIFS($F$28:$F$59,$A$28:$A$59,$A63)</f>
        <v/>
      </c>
      <c r="E63" s="8">
        <f>IF(B63&gt;0,C63/B63,"")</f>
        <v/>
      </c>
      <c r="F63" s="6">
        <f>SUMIFS($J$28:$J$59,$A$28:$A$59,$A63)</f>
        <v/>
      </c>
      <c r="G63" s="6">
        <f>F63/4</f>
        <v/>
      </c>
    </row>
    <row r="64">
      <c r="A64" t="inlineStr">
        <is>
          <t>Fresh Milk</t>
        </is>
      </c>
      <c r="B64" s="6">
        <f>SUMIFS($D$28:$D$59,$A$28:$A$59,$A64)</f>
        <v/>
      </c>
      <c r="C64" s="6">
        <f>SUMIFS($H$28:$H$59,$A$28:$A$59,$A64)</f>
        <v/>
      </c>
      <c r="D64" s="6">
        <f>SUMIFS($F$28:$F$59,$A$28:$A$59,$A64)</f>
        <v/>
      </c>
      <c r="E64" s="8">
        <f>IF(B64&gt;0,C64/B64,"")</f>
        <v/>
      </c>
      <c r="F64" s="6">
        <f>SUMIFS($J$28:$J$59,$A$28:$A$59,$A64)</f>
        <v/>
      </c>
      <c r="G64" s="6">
        <f>F64/4</f>
        <v/>
      </c>
    </row>
    <row r="65">
      <c r="A65" t="inlineStr">
        <is>
          <t>Brioche Sandwich</t>
        </is>
      </c>
      <c r="B65" s="6">
        <f>SUMIFS($D$28:$D$59,$A$28:$A$59,$A65)</f>
        <v/>
      </c>
      <c r="C65" s="6">
        <f>SUMIFS($H$28:$H$59,$A$28:$A$59,$A65)</f>
        <v/>
      </c>
      <c r="D65" s="6">
        <f>SUMIFS($F$28:$F$59,$A$28:$A$59,$A65)</f>
        <v/>
      </c>
      <c r="E65" s="8">
        <f>IF(B65&gt;0,C65/B65,"")</f>
        <v/>
      </c>
      <c r="F65" s="6">
        <f>SUMIFS($J$28:$J$59,$A$28:$A$59,$A65)</f>
        <v/>
      </c>
      <c r="G65" s="6">
        <f>F65/4</f>
        <v/>
      </c>
    </row>
    <row r="66">
      <c r="A66" t="inlineStr">
        <is>
          <t>Telur Omega</t>
        </is>
      </c>
      <c r="B66" s="6">
        <f>SUMIFS($D$28:$D$59,$A$28:$A$59,$A66)</f>
        <v/>
      </c>
      <c r="C66" s="6">
        <f>SUMIFS($H$28:$H$59,$A$28:$A$59,$A66)</f>
        <v/>
      </c>
      <c r="D66" s="6">
        <f>SUMIFS($F$28:$F$59,$A$28:$A$59,$A66)</f>
        <v/>
      </c>
      <c r="E66" s="8">
        <f>IF(B66&gt;0,C66/B66,"")</f>
        <v/>
      </c>
      <c r="F66" s="6">
        <f>SUMIFS($J$28:$J$59,$A$28:$A$59,$A66)</f>
        <v/>
      </c>
      <c r="G66" s="6">
        <f>F66/4</f>
        <v/>
      </c>
    </row>
    <row r="67">
      <c r="A67" t="inlineStr">
        <is>
          <t>Burnt Cheesecake</t>
        </is>
      </c>
      <c r="B67" s="6">
        <f>SUMIFS($D$28:$D$59,$A$28:$A$59,$A67)</f>
        <v/>
      </c>
      <c r="C67" s="6">
        <f>SUMIFS($H$28:$H$59,$A$28:$A$59,$A67)</f>
        <v/>
      </c>
      <c r="D67" s="6">
        <f>SUMIFS($F$28:$F$59,$A$28:$A$59,$A67)</f>
        <v/>
      </c>
      <c r="E67" s="8">
        <f>IF(B67&gt;0,C67/B67,"")</f>
        <v/>
      </c>
      <c r="F67" s="6">
        <f>SUMIFS($J$28:$J$59,$A$28:$A$59,$A67)</f>
        <v/>
      </c>
      <c r="G67" s="6">
        <f>F67/4</f>
        <v/>
      </c>
    </row>
    <row r="68">
      <c r="A68" t="inlineStr">
        <is>
          <t>Salted Croissant</t>
        </is>
      </c>
      <c r="B68" s="6">
        <f>SUMIFS($D$28:$D$59,$A$28:$A$59,$A68)</f>
        <v/>
      </c>
      <c r="C68" s="6">
        <f>SUMIFS($H$28:$H$59,$A$28:$A$59,$A68)</f>
        <v/>
      </c>
      <c r="D68" s="6">
        <f>SUMIFS($F$28:$F$59,$A$28:$A$59,$A68)</f>
        <v/>
      </c>
      <c r="E68" s="8">
        <f>IF(B68&gt;0,C68/B68,"")</f>
        <v/>
      </c>
      <c r="F68" s="6">
        <f>SUMIFS($J$28:$J$59,$A$28:$A$59,$A68)</f>
        <v/>
      </c>
      <c r="G68" s="6">
        <f>F68/4</f>
        <v/>
      </c>
    </row>
    <row r="69">
      <c r="A69" t="inlineStr">
        <is>
          <t>Udang</t>
        </is>
      </c>
      <c r="B69" s="6">
        <f>SUMIFS($D$28:$D$59,$A$28:$A$59,$A69)</f>
        <v/>
      </c>
      <c r="C69" s="6">
        <f>SUMIFS($H$28:$H$59,$A$28:$A$59,$A69)</f>
        <v/>
      </c>
      <c r="D69" s="6">
        <f>SUMIFS($F$28:$F$59,$A$28:$A$59,$A69)</f>
        <v/>
      </c>
      <c r="E69" s="8">
        <f>IF(B69&gt;0,C69/B69,"")</f>
        <v/>
      </c>
      <c r="F69" s="6">
        <f>SUMIFS($J$28:$J$59,$A$28:$A$59,$A69)</f>
        <v/>
      </c>
      <c r="G69" s="6">
        <f>F69/4</f>
        <v/>
      </c>
    </row>
    <row r="70">
      <c r="A70" t="inlineStr">
        <is>
          <t>Pull Lamb</t>
        </is>
      </c>
      <c r="B70" s="6">
        <f>SUMIFS($D$28:$D$59,$A$28:$A$59,$A70)</f>
        <v/>
      </c>
      <c r="C70" s="6">
        <f>SUMIFS($H$28:$H$59,$A$28:$A$59,$A70)</f>
        <v/>
      </c>
      <c r="D70" s="6">
        <f>SUMIFS($F$28:$F$59,$A$28:$A$59,$A70)</f>
        <v/>
      </c>
      <c r="E70" s="8">
        <f>IF(B70&gt;0,C70/B70,"")</f>
        <v/>
      </c>
      <c r="F70" s="6">
        <f>SUMIFS($J$28:$J$59,$A$28:$A$59,$A70)</f>
        <v/>
      </c>
      <c r="G70" s="6">
        <f>F70/4</f>
        <v/>
      </c>
    </row>
    <row r="71">
      <c r="A71" t="inlineStr">
        <is>
          <t>TOTAL</t>
        </is>
      </c>
      <c r="B71" t="inlineStr"/>
      <c r="C71" t="inlineStr"/>
      <c r="D71" s="6">
        <f>SUM(D63:D70)</f>
        <v/>
      </c>
      <c r="E71" t="inlineStr"/>
      <c r="F71" s="6">
        <f>SUM(F63:F70)</f>
        <v/>
      </c>
      <c r="G71" s="6">
        <f>F71/4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>
      <c r="A1" s="3" t="inlineStr">
        <is>
          <t>Ingredient</t>
        </is>
      </c>
      <c r="B1" s="3" t="inlineStr">
        <is>
          <t>Menu item</t>
        </is>
      </c>
      <c r="C1" s="3" t="inlineStr">
        <is>
          <t>Month</t>
        </is>
      </c>
      <c r="D1" s="3" t="inlineStr">
        <is>
          <t>Qty sold</t>
        </is>
      </c>
      <c r="E1" s="3" t="inlineStr">
        <is>
          <t>Dose per item (EDIT)</t>
        </is>
      </c>
      <c r="F1" s="3" t="inlineStr">
        <is>
          <t>Usage = qty x dose</t>
        </is>
      </c>
    </row>
    <row r="2">
      <c r="A2" t="inlineStr">
        <is>
          <t>Home Blend (Collective)</t>
        </is>
      </c>
      <c r="B2" t="inlineStr">
        <is>
          <t>Latte</t>
        </is>
      </c>
      <c r="C2" t="inlineStr">
        <is>
          <t>2026-04</t>
        </is>
      </c>
      <c r="D2" t="n">
        <v>2834</v>
      </c>
      <c r="E2" s="4" t="n">
        <v>18</v>
      </c>
      <c r="F2">
        <f>D2*E2</f>
        <v/>
      </c>
    </row>
    <row r="3">
      <c r="A3" t="inlineStr">
        <is>
          <t>Home Blend (Collective)</t>
        </is>
      </c>
      <c r="B3" t="inlineStr">
        <is>
          <t>Latte</t>
        </is>
      </c>
      <c r="C3" t="inlineStr">
        <is>
          <t>2026-05</t>
        </is>
      </c>
      <c r="D3" t="n">
        <v>2797</v>
      </c>
      <c r="E3" s="4" t="n">
        <v>18</v>
      </c>
      <c r="F3">
        <f>D3*E3</f>
        <v/>
      </c>
    </row>
    <row r="4">
      <c r="A4" t="inlineStr">
        <is>
          <t>Home Blend (Collective)</t>
        </is>
      </c>
      <c r="B4" t="inlineStr">
        <is>
          <t>Latte</t>
        </is>
      </c>
      <c r="C4" t="inlineStr">
        <is>
          <t>2026-06</t>
        </is>
      </c>
      <c r="D4" t="n">
        <v>2730</v>
      </c>
      <c r="E4" s="4" t="n">
        <v>18</v>
      </c>
      <c r="F4">
        <f>D4*E4</f>
        <v/>
      </c>
    </row>
    <row r="5">
      <c r="A5" t="inlineStr">
        <is>
          <t>Home Blend (Collective)</t>
        </is>
      </c>
      <c r="B5" t="inlineStr">
        <is>
          <t>Latte</t>
        </is>
      </c>
      <c r="C5" t="inlineStr">
        <is>
          <t>2026-07</t>
        </is>
      </c>
      <c r="D5" t="n">
        <v>2548</v>
      </c>
      <c r="E5" s="4" t="n">
        <v>18</v>
      </c>
      <c r="F5">
        <f>D5*E5</f>
        <v/>
      </c>
    </row>
    <row r="6">
      <c r="A6" t="inlineStr">
        <is>
          <t>Home Blend (Collective)</t>
        </is>
      </c>
      <c r="B6" t="inlineStr">
        <is>
          <t>Buttercream Latte</t>
        </is>
      </c>
      <c r="C6" t="inlineStr">
        <is>
          <t>2026-04</t>
        </is>
      </c>
      <c r="D6" t="n">
        <v>1604</v>
      </c>
      <c r="E6" s="4" t="n">
        <v>18</v>
      </c>
      <c r="F6">
        <f>D6*E6</f>
        <v/>
      </c>
    </row>
    <row r="7">
      <c r="A7" t="inlineStr">
        <is>
          <t>Home Blend (Collective)</t>
        </is>
      </c>
      <c r="B7" t="inlineStr">
        <is>
          <t>Buttercream Latte</t>
        </is>
      </c>
      <c r="C7" t="inlineStr">
        <is>
          <t>2026-05</t>
        </is>
      </c>
      <c r="D7" t="n">
        <v>1542</v>
      </c>
      <c r="E7" s="4" t="n">
        <v>18</v>
      </c>
      <c r="F7">
        <f>D7*E7</f>
        <v/>
      </c>
    </row>
    <row r="8">
      <c r="A8" t="inlineStr">
        <is>
          <t>Home Blend (Collective)</t>
        </is>
      </c>
      <c r="B8" t="inlineStr">
        <is>
          <t>Buttercream Latte</t>
        </is>
      </c>
      <c r="C8" t="inlineStr">
        <is>
          <t>2026-06</t>
        </is>
      </c>
      <c r="D8" t="n">
        <v>1384</v>
      </c>
      <c r="E8" s="4" t="n">
        <v>18</v>
      </c>
      <c r="F8">
        <f>D8*E8</f>
        <v/>
      </c>
    </row>
    <row r="9">
      <c r="A9" t="inlineStr">
        <is>
          <t>Home Blend (Collective)</t>
        </is>
      </c>
      <c r="B9" t="inlineStr">
        <is>
          <t>Buttercream Latte</t>
        </is>
      </c>
      <c r="C9" t="inlineStr">
        <is>
          <t>2026-07</t>
        </is>
      </c>
      <c r="D9" t="n">
        <v>1267</v>
      </c>
      <c r="E9" s="4" t="n">
        <v>18</v>
      </c>
      <c r="F9">
        <f>D9*E9</f>
        <v/>
      </c>
    </row>
    <row r="10">
      <c r="A10" t="inlineStr">
        <is>
          <t>Home Blend (Collective)</t>
        </is>
      </c>
      <c r="B10" t="inlineStr">
        <is>
          <t>Black</t>
        </is>
      </c>
      <c r="C10" t="inlineStr">
        <is>
          <t>2026-04</t>
        </is>
      </c>
      <c r="D10" t="n">
        <v>1417</v>
      </c>
      <c r="E10" s="4" t="n">
        <v>18</v>
      </c>
      <c r="F10">
        <f>D10*E10</f>
        <v/>
      </c>
    </row>
    <row r="11">
      <c r="A11" t="inlineStr">
        <is>
          <t>Home Blend (Collective)</t>
        </is>
      </c>
      <c r="B11" t="inlineStr">
        <is>
          <t>Black</t>
        </is>
      </c>
      <c r="C11" t="inlineStr">
        <is>
          <t>2026-05</t>
        </is>
      </c>
      <c r="D11" t="n">
        <v>1366</v>
      </c>
      <c r="E11" s="4" t="n">
        <v>18</v>
      </c>
      <c r="F11">
        <f>D11*E11</f>
        <v/>
      </c>
    </row>
    <row r="12">
      <c r="A12" t="inlineStr">
        <is>
          <t>Home Blend (Collective)</t>
        </is>
      </c>
      <c r="B12" t="inlineStr">
        <is>
          <t>Black</t>
        </is>
      </c>
      <c r="C12" t="inlineStr">
        <is>
          <t>2026-06</t>
        </is>
      </c>
      <c r="D12" t="n">
        <v>1228</v>
      </c>
      <c r="E12" s="4" t="n">
        <v>18</v>
      </c>
      <c r="F12">
        <f>D12*E12</f>
        <v/>
      </c>
    </row>
    <row r="13">
      <c r="A13" t="inlineStr">
        <is>
          <t>Home Blend (Collective)</t>
        </is>
      </c>
      <c r="B13" t="inlineStr">
        <is>
          <t>Black</t>
        </is>
      </c>
      <c r="C13" t="inlineStr">
        <is>
          <t>2026-07</t>
        </is>
      </c>
      <c r="D13" t="n">
        <v>1055</v>
      </c>
      <c r="E13" s="4" t="n">
        <v>18</v>
      </c>
      <c r="F13">
        <f>D13*E13</f>
        <v/>
      </c>
    </row>
    <row r="14">
      <c r="A14" t="inlineStr">
        <is>
          <t>Home Blend (Collective)</t>
        </is>
      </c>
      <c r="B14" t="inlineStr">
        <is>
          <t>Spanish Latte</t>
        </is>
      </c>
      <c r="C14" t="inlineStr">
        <is>
          <t>2026-04</t>
        </is>
      </c>
      <c r="D14" t="n">
        <v>817</v>
      </c>
      <c r="E14" s="4" t="n">
        <v>18</v>
      </c>
      <c r="F14">
        <f>D14*E14</f>
        <v/>
      </c>
    </row>
    <row r="15">
      <c r="A15" t="inlineStr">
        <is>
          <t>Home Blend (Collective)</t>
        </is>
      </c>
      <c r="B15" t="inlineStr">
        <is>
          <t>Spanish Latte</t>
        </is>
      </c>
      <c r="C15" t="inlineStr">
        <is>
          <t>2026-05</t>
        </is>
      </c>
      <c r="D15" t="n">
        <v>724</v>
      </c>
      <c r="E15" s="4" t="n">
        <v>18</v>
      </c>
      <c r="F15">
        <f>D15*E15</f>
        <v/>
      </c>
    </row>
    <row r="16">
      <c r="A16" t="inlineStr">
        <is>
          <t>Home Blend (Collective)</t>
        </is>
      </c>
      <c r="B16" t="inlineStr">
        <is>
          <t>Spanish Latte</t>
        </is>
      </c>
      <c r="C16" t="inlineStr">
        <is>
          <t>2026-06</t>
        </is>
      </c>
      <c r="D16" t="n">
        <v>848</v>
      </c>
      <c r="E16" s="4" t="n">
        <v>18</v>
      </c>
      <c r="F16">
        <f>D16*E16</f>
        <v/>
      </c>
    </row>
    <row r="17">
      <c r="A17" t="inlineStr">
        <is>
          <t>Home Blend (Collective)</t>
        </is>
      </c>
      <c r="B17" t="inlineStr">
        <is>
          <t>Spanish Latte</t>
        </is>
      </c>
      <c r="C17" t="inlineStr">
        <is>
          <t>2026-07</t>
        </is>
      </c>
      <c r="D17" t="n">
        <v>763</v>
      </c>
      <c r="E17" s="4" t="n">
        <v>18</v>
      </c>
      <c r="F17">
        <f>D17*E17</f>
        <v/>
      </c>
    </row>
    <row r="18">
      <c r="A18" t="inlineStr">
        <is>
          <t>Home Blend (Collective)</t>
        </is>
      </c>
      <c r="B18" t="inlineStr">
        <is>
          <t>Cappucino</t>
        </is>
      </c>
      <c r="C18" t="inlineStr">
        <is>
          <t>2026-04</t>
        </is>
      </c>
      <c r="D18" t="n">
        <v>472</v>
      </c>
      <c r="E18" s="4" t="n">
        <v>18</v>
      </c>
      <c r="F18">
        <f>D18*E18</f>
        <v/>
      </c>
    </row>
    <row r="19">
      <c r="A19" t="inlineStr">
        <is>
          <t>Home Blend (Collective)</t>
        </is>
      </c>
      <c r="B19" t="inlineStr">
        <is>
          <t>Cappucino</t>
        </is>
      </c>
      <c r="C19" t="inlineStr">
        <is>
          <t>2026-05</t>
        </is>
      </c>
      <c r="D19" t="n">
        <v>528</v>
      </c>
      <c r="E19" s="4" t="n">
        <v>18</v>
      </c>
      <c r="F19">
        <f>D19*E19</f>
        <v/>
      </c>
    </row>
    <row r="20">
      <c r="A20" t="inlineStr">
        <is>
          <t>Home Blend (Collective)</t>
        </is>
      </c>
      <c r="B20" t="inlineStr">
        <is>
          <t>Cappucino</t>
        </is>
      </c>
      <c r="C20" t="inlineStr">
        <is>
          <t>2026-06</t>
        </is>
      </c>
      <c r="D20" t="n">
        <v>503</v>
      </c>
      <c r="E20" s="4" t="n">
        <v>18</v>
      </c>
      <c r="F20">
        <f>D20*E20</f>
        <v/>
      </c>
    </row>
    <row r="21">
      <c r="A21" t="inlineStr">
        <is>
          <t>Home Blend (Collective)</t>
        </is>
      </c>
      <c r="B21" t="inlineStr">
        <is>
          <t>Cappucino</t>
        </is>
      </c>
      <c r="C21" t="inlineStr">
        <is>
          <t>2026-07</t>
        </is>
      </c>
      <c r="D21" t="n">
        <v>529</v>
      </c>
      <c r="E21" s="4" t="n">
        <v>18</v>
      </c>
      <c r="F21">
        <f>D21*E21</f>
        <v/>
      </c>
    </row>
    <row r="22">
      <c r="A22" t="inlineStr">
        <is>
          <t>Home Blend (Collective)</t>
        </is>
      </c>
      <c r="B22" t="inlineStr">
        <is>
          <t>Mont Blanc</t>
        </is>
      </c>
      <c r="C22" t="inlineStr">
        <is>
          <t>2026-04</t>
        </is>
      </c>
      <c r="D22" t="n">
        <v>475</v>
      </c>
      <c r="E22" s="4" t="n">
        <v>18</v>
      </c>
      <c r="F22">
        <f>D22*E22</f>
        <v/>
      </c>
    </row>
    <row r="23">
      <c r="A23" t="inlineStr">
        <is>
          <t>Home Blend (Collective)</t>
        </is>
      </c>
      <c r="B23" t="inlineStr">
        <is>
          <t>Mont Blanc</t>
        </is>
      </c>
      <c r="C23" t="inlineStr">
        <is>
          <t>2026-05</t>
        </is>
      </c>
      <c r="D23" t="n">
        <v>521</v>
      </c>
      <c r="E23" s="4" t="n">
        <v>18</v>
      </c>
      <c r="F23">
        <f>D23*E23</f>
        <v/>
      </c>
    </row>
    <row r="24">
      <c r="A24" t="inlineStr">
        <is>
          <t>Home Blend (Collective)</t>
        </is>
      </c>
      <c r="B24" t="inlineStr">
        <is>
          <t>Mont Blanc</t>
        </is>
      </c>
      <c r="C24" t="inlineStr">
        <is>
          <t>2026-06</t>
        </is>
      </c>
      <c r="D24" t="n">
        <v>558</v>
      </c>
      <c r="E24" s="4" t="n">
        <v>18</v>
      </c>
      <c r="F24">
        <f>D24*E24</f>
        <v/>
      </c>
    </row>
    <row r="25">
      <c r="A25" t="inlineStr">
        <is>
          <t>Home Blend (Collective)</t>
        </is>
      </c>
      <c r="B25" t="inlineStr">
        <is>
          <t>Mont Blanc</t>
        </is>
      </c>
      <c r="C25" t="inlineStr">
        <is>
          <t>2026-07</t>
        </is>
      </c>
      <c r="D25" t="n">
        <v>527</v>
      </c>
      <c r="E25" s="4" t="n">
        <v>18</v>
      </c>
      <c r="F25">
        <f>D25*E25</f>
        <v/>
      </c>
    </row>
    <row r="26">
      <c r="A26" t="inlineStr">
        <is>
          <t>Home Blend (Collective)</t>
        </is>
      </c>
      <c r="B26" t="inlineStr">
        <is>
          <t>Hazelnut Latte</t>
        </is>
      </c>
      <c r="C26" t="inlineStr">
        <is>
          <t>2026-04</t>
        </is>
      </c>
      <c r="D26" t="n">
        <v>352</v>
      </c>
      <c r="E26" s="4" t="n">
        <v>18</v>
      </c>
      <c r="F26">
        <f>D26*E26</f>
        <v/>
      </c>
    </row>
    <row r="27">
      <c r="A27" t="inlineStr">
        <is>
          <t>Home Blend (Collective)</t>
        </is>
      </c>
      <c r="B27" t="inlineStr">
        <is>
          <t>Hazelnut Latte</t>
        </is>
      </c>
      <c r="C27" t="inlineStr">
        <is>
          <t>2026-05</t>
        </is>
      </c>
      <c r="D27" t="n">
        <v>302</v>
      </c>
      <c r="E27" s="4" t="n">
        <v>18</v>
      </c>
      <c r="F27">
        <f>D27*E27</f>
        <v/>
      </c>
    </row>
    <row r="28">
      <c r="A28" t="inlineStr">
        <is>
          <t>Home Blend (Collective)</t>
        </is>
      </c>
      <c r="B28" t="inlineStr">
        <is>
          <t>Hazelnut Latte</t>
        </is>
      </c>
      <c r="C28" t="inlineStr">
        <is>
          <t>2026-06</t>
        </is>
      </c>
      <c r="D28" t="n">
        <v>298</v>
      </c>
      <c r="E28" s="4" t="n">
        <v>18</v>
      </c>
      <c r="F28">
        <f>D28*E28</f>
        <v/>
      </c>
    </row>
    <row r="29">
      <c r="A29" t="inlineStr">
        <is>
          <t>Home Blend (Collective)</t>
        </is>
      </c>
      <c r="B29" t="inlineStr">
        <is>
          <t>Hazelnut Latte</t>
        </is>
      </c>
      <c r="C29" t="inlineStr">
        <is>
          <t>2026-07</t>
        </is>
      </c>
      <c r="D29" t="n">
        <v>285</v>
      </c>
      <c r="E29" s="4" t="n">
        <v>18</v>
      </c>
      <c r="F29">
        <f>D29*E29</f>
        <v/>
      </c>
    </row>
    <row r="30">
      <c r="A30" t="inlineStr">
        <is>
          <t>Home Blend (Collective)</t>
        </is>
      </c>
      <c r="B30" t="inlineStr">
        <is>
          <t>Caramel Macchiato</t>
        </is>
      </c>
      <c r="C30" t="inlineStr">
        <is>
          <t>2026-04</t>
        </is>
      </c>
      <c r="D30" t="n">
        <v>359</v>
      </c>
      <c r="E30" s="4" t="n">
        <v>18</v>
      </c>
      <c r="F30">
        <f>D30*E30</f>
        <v/>
      </c>
    </row>
    <row r="31">
      <c r="A31" t="inlineStr">
        <is>
          <t>Home Blend (Collective)</t>
        </is>
      </c>
      <c r="B31" t="inlineStr">
        <is>
          <t>Caramel Macchiato</t>
        </is>
      </c>
      <c r="C31" t="inlineStr">
        <is>
          <t>2026-05</t>
        </is>
      </c>
      <c r="D31" t="n">
        <v>330</v>
      </c>
      <c r="E31" s="4" t="n">
        <v>18</v>
      </c>
      <c r="F31">
        <f>D31*E31</f>
        <v/>
      </c>
    </row>
    <row r="32">
      <c r="A32" t="inlineStr">
        <is>
          <t>Home Blend (Collective)</t>
        </is>
      </c>
      <c r="B32" t="inlineStr">
        <is>
          <t>Caramel Macchiato</t>
        </is>
      </c>
      <c r="C32" t="inlineStr">
        <is>
          <t>2026-06</t>
        </is>
      </c>
      <c r="D32" t="n">
        <v>329</v>
      </c>
      <c r="E32" s="4" t="n">
        <v>18</v>
      </c>
      <c r="F32">
        <f>D32*E32</f>
        <v/>
      </c>
    </row>
    <row r="33">
      <c r="A33" t="inlineStr">
        <is>
          <t>Home Blend (Collective)</t>
        </is>
      </c>
      <c r="B33" t="inlineStr">
        <is>
          <t>Caramel Macchiato</t>
        </is>
      </c>
      <c r="C33" t="inlineStr">
        <is>
          <t>2026-07</t>
        </is>
      </c>
      <c r="D33" t="n">
        <v>250</v>
      </c>
      <c r="E33" s="4" t="n">
        <v>18</v>
      </c>
      <c r="F33">
        <f>D33*E33</f>
        <v/>
      </c>
    </row>
    <row r="34">
      <c r="A34" t="inlineStr">
        <is>
          <t>Home Blend (Collective)</t>
        </is>
      </c>
      <c r="B34" t="inlineStr">
        <is>
          <t>Salted Caramel Latte</t>
        </is>
      </c>
      <c r="C34" t="inlineStr">
        <is>
          <t>2026-04</t>
        </is>
      </c>
      <c r="D34" t="n">
        <v>346</v>
      </c>
      <c r="E34" s="4" t="n">
        <v>18</v>
      </c>
      <c r="F34">
        <f>D34*E34</f>
        <v/>
      </c>
    </row>
    <row r="35">
      <c r="A35" t="inlineStr">
        <is>
          <t>Home Blend (Collective)</t>
        </is>
      </c>
      <c r="B35" t="inlineStr">
        <is>
          <t>Salted Caramel Latte</t>
        </is>
      </c>
      <c r="C35" t="inlineStr">
        <is>
          <t>2026-05</t>
        </is>
      </c>
      <c r="D35" t="n">
        <v>338</v>
      </c>
      <c r="E35" s="4" t="n">
        <v>18</v>
      </c>
      <c r="F35">
        <f>D35*E35</f>
        <v/>
      </c>
    </row>
    <row r="36">
      <c r="A36" t="inlineStr">
        <is>
          <t>Home Blend (Collective)</t>
        </is>
      </c>
      <c r="B36" t="inlineStr">
        <is>
          <t>Salted Caramel Latte</t>
        </is>
      </c>
      <c r="C36" t="inlineStr">
        <is>
          <t>2026-06</t>
        </is>
      </c>
      <c r="D36" t="n">
        <v>330</v>
      </c>
      <c r="E36" s="4" t="n">
        <v>18</v>
      </c>
      <c r="F36">
        <f>D36*E36</f>
        <v/>
      </c>
    </row>
    <row r="37">
      <c r="A37" t="inlineStr">
        <is>
          <t>Home Blend (Collective)</t>
        </is>
      </c>
      <c r="B37" t="inlineStr">
        <is>
          <t>Salted Caramel Latte</t>
        </is>
      </c>
      <c r="C37" t="inlineStr">
        <is>
          <t>2026-07</t>
        </is>
      </c>
      <c r="D37" t="n">
        <v>312</v>
      </c>
      <c r="E37" s="4" t="n">
        <v>18</v>
      </c>
      <c r="F37">
        <f>D37*E37</f>
        <v/>
      </c>
    </row>
    <row r="38">
      <c r="A38" t="inlineStr">
        <is>
          <t>Home Blend (Collective)</t>
        </is>
      </c>
      <c r="B38" t="inlineStr">
        <is>
          <t>Dirty Latte</t>
        </is>
      </c>
      <c r="C38" t="inlineStr">
        <is>
          <t>2026-04</t>
        </is>
      </c>
      <c r="D38" t="n">
        <v>313</v>
      </c>
      <c r="E38" s="4" t="n">
        <v>18</v>
      </c>
      <c r="F38">
        <f>D38*E38</f>
        <v/>
      </c>
    </row>
    <row r="39">
      <c r="A39" t="inlineStr">
        <is>
          <t>Home Blend (Collective)</t>
        </is>
      </c>
      <c r="B39" t="inlineStr">
        <is>
          <t>Dirty Latte</t>
        </is>
      </c>
      <c r="C39" t="inlineStr">
        <is>
          <t>2026-05</t>
        </is>
      </c>
      <c r="D39" t="n">
        <v>316</v>
      </c>
      <c r="E39" s="4" t="n">
        <v>18</v>
      </c>
      <c r="F39">
        <f>D39*E39</f>
        <v/>
      </c>
    </row>
    <row r="40">
      <c r="A40" t="inlineStr">
        <is>
          <t>Home Blend (Collective)</t>
        </is>
      </c>
      <c r="B40" t="inlineStr">
        <is>
          <t>Dirty Latte</t>
        </is>
      </c>
      <c r="C40" t="inlineStr">
        <is>
          <t>2026-06</t>
        </is>
      </c>
      <c r="D40" t="n">
        <v>392</v>
      </c>
      <c r="E40" s="4" t="n">
        <v>18</v>
      </c>
      <c r="F40">
        <f>D40*E40</f>
        <v/>
      </c>
    </row>
    <row r="41">
      <c r="A41" t="inlineStr">
        <is>
          <t>Home Blend (Collective)</t>
        </is>
      </c>
      <c r="B41" t="inlineStr">
        <is>
          <t>Dirty Latte</t>
        </is>
      </c>
      <c r="C41" t="inlineStr">
        <is>
          <t>2026-07</t>
        </is>
      </c>
      <c r="D41" t="n">
        <v>331</v>
      </c>
      <c r="E41" s="4" t="n">
        <v>18</v>
      </c>
      <c r="F41">
        <f>D41*E41</f>
        <v/>
      </c>
    </row>
    <row r="42">
      <c r="A42" t="inlineStr">
        <is>
          <t>Home Blend (Collective)</t>
        </is>
      </c>
      <c r="B42" t="inlineStr">
        <is>
          <t>Vanilla Latte</t>
        </is>
      </c>
      <c r="C42" t="inlineStr">
        <is>
          <t>2026-04</t>
        </is>
      </c>
      <c r="D42" t="n">
        <v>332</v>
      </c>
      <c r="E42" s="4" t="n">
        <v>18</v>
      </c>
      <c r="F42">
        <f>D42*E42</f>
        <v/>
      </c>
    </row>
    <row r="43">
      <c r="A43" t="inlineStr">
        <is>
          <t>Home Blend (Collective)</t>
        </is>
      </c>
      <c r="B43" t="inlineStr">
        <is>
          <t>Vanilla Latte</t>
        </is>
      </c>
      <c r="C43" t="inlineStr">
        <is>
          <t>2026-05</t>
        </is>
      </c>
      <c r="D43" t="n">
        <v>250</v>
      </c>
      <c r="E43" s="4" t="n">
        <v>18</v>
      </c>
      <c r="F43">
        <f>D43*E43</f>
        <v/>
      </c>
    </row>
    <row r="44">
      <c r="A44" t="inlineStr">
        <is>
          <t>Home Blend (Collective)</t>
        </is>
      </c>
      <c r="B44" t="inlineStr">
        <is>
          <t>Vanilla Latte</t>
        </is>
      </c>
      <c r="C44" t="inlineStr">
        <is>
          <t>2026-06</t>
        </is>
      </c>
      <c r="D44" t="n">
        <v>215</v>
      </c>
      <c r="E44" s="4" t="n">
        <v>18</v>
      </c>
      <c r="F44">
        <f>D44*E44</f>
        <v/>
      </c>
    </row>
    <row r="45">
      <c r="A45" t="inlineStr">
        <is>
          <t>Home Blend (Collective)</t>
        </is>
      </c>
      <c r="B45" t="inlineStr">
        <is>
          <t>Vanilla Latte</t>
        </is>
      </c>
      <c r="C45" t="inlineStr">
        <is>
          <t>2026-07</t>
        </is>
      </c>
      <c r="D45" t="n">
        <v>210</v>
      </c>
      <c r="E45" s="4" t="n">
        <v>18</v>
      </c>
      <c r="F45">
        <f>D45*E45</f>
        <v/>
      </c>
    </row>
    <row r="46">
      <c r="A46" t="inlineStr">
        <is>
          <t>Home Blend (Collective)</t>
        </is>
      </c>
      <c r="B46" t="inlineStr">
        <is>
          <t>Caramel Latte</t>
        </is>
      </c>
      <c r="C46" t="inlineStr">
        <is>
          <t>2026-04</t>
        </is>
      </c>
      <c r="D46" t="n">
        <v>308</v>
      </c>
      <c r="E46" s="4" t="n">
        <v>18</v>
      </c>
      <c r="F46">
        <f>D46*E46</f>
        <v/>
      </c>
    </row>
    <row r="47">
      <c r="A47" t="inlineStr">
        <is>
          <t>Home Blend (Collective)</t>
        </is>
      </c>
      <c r="B47" t="inlineStr">
        <is>
          <t>Caramel Latte</t>
        </is>
      </c>
      <c r="C47" t="inlineStr">
        <is>
          <t>2026-05</t>
        </is>
      </c>
      <c r="D47" t="n">
        <v>277</v>
      </c>
      <c r="E47" s="4" t="n">
        <v>18</v>
      </c>
      <c r="F47">
        <f>D47*E47</f>
        <v/>
      </c>
    </row>
    <row r="48">
      <c r="A48" t="inlineStr">
        <is>
          <t>Home Blend (Collective)</t>
        </is>
      </c>
      <c r="B48" t="inlineStr">
        <is>
          <t>Caramel Latte</t>
        </is>
      </c>
      <c r="C48" t="inlineStr">
        <is>
          <t>2026-06</t>
        </is>
      </c>
      <c r="D48" t="n">
        <v>294</v>
      </c>
      <c r="E48" s="4" t="n">
        <v>18</v>
      </c>
      <c r="F48">
        <f>D48*E48</f>
        <v/>
      </c>
    </row>
    <row r="49">
      <c r="A49" t="inlineStr">
        <is>
          <t>Home Blend (Collective)</t>
        </is>
      </c>
      <c r="B49" t="inlineStr">
        <is>
          <t>Caramel Latte</t>
        </is>
      </c>
      <c r="C49" t="inlineStr">
        <is>
          <t>2026-07</t>
        </is>
      </c>
      <c r="D49" t="n">
        <v>220</v>
      </c>
      <c r="E49" s="4" t="n">
        <v>18</v>
      </c>
      <c r="F49">
        <f>D49*E49</f>
        <v/>
      </c>
    </row>
    <row r="50">
      <c r="A50" t="inlineStr">
        <is>
          <t>Home Blend (Collective)</t>
        </is>
      </c>
      <c r="B50" t="inlineStr">
        <is>
          <t>Mocha</t>
        </is>
      </c>
      <c r="C50" t="inlineStr">
        <is>
          <t>2026-04</t>
        </is>
      </c>
      <c r="D50" t="n">
        <v>286</v>
      </c>
      <c r="E50" s="4" t="n">
        <v>18</v>
      </c>
      <c r="F50">
        <f>D50*E50</f>
        <v/>
      </c>
    </row>
    <row r="51">
      <c r="A51" t="inlineStr">
        <is>
          <t>Home Blend (Collective)</t>
        </is>
      </c>
      <c r="B51" t="inlineStr">
        <is>
          <t>Mocha</t>
        </is>
      </c>
      <c r="C51" t="inlineStr">
        <is>
          <t>2026-05</t>
        </is>
      </c>
      <c r="D51" t="n">
        <v>275</v>
      </c>
      <c r="E51" s="4" t="n">
        <v>18</v>
      </c>
      <c r="F51">
        <f>D51*E51</f>
        <v/>
      </c>
    </row>
    <row r="52">
      <c r="A52" t="inlineStr">
        <is>
          <t>Home Blend (Collective)</t>
        </is>
      </c>
      <c r="B52" t="inlineStr">
        <is>
          <t>Mocha</t>
        </is>
      </c>
      <c r="C52" t="inlineStr">
        <is>
          <t>2026-06</t>
        </is>
      </c>
      <c r="D52" t="n">
        <v>257</v>
      </c>
      <c r="E52" s="4" t="n">
        <v>18</v>
      </c>
      <c r="F52">
        <f>D52*E52</f>
        <v/>
      </c>
    </row>
    <row r="53">
      <c r="A53" t="inlineStr">
        <is>
          <t>Home Blend (Collective)</t>
        </is>
      </c>
      <c r="B53" t="inlineStr">
        <is>
          <t>Mocha</t>
        </is>
      </c>
      <c r="C53" t="inlineStr">
        <is>
          <t>2026-07</t>
        </is>
      </c>
      <c r="D53" t="n">
        <v>242</v>
      </c>
      <c r="E53" s="4" t="n">
        <v>18</v>
      </c>
      <c r="F53">
        <f>D53*E53</f>
        <v/>
      </c>
    </row>
    <row r="54">
      <c r="A54" t="inlineStr">
        <is>
          <t>Home Blend (Collective)</t>
        </is>
      </c>
      <c r="B54" t="inlineStr">
        <is>
          <t>Doppio Freddo</t>
        </is>
      </c>
      <c r="C54" t="inlineStr">
        <is>
          <t>2026-04</t>
        </is>
      </c>
      <c r="D54" t="n">
        <v>274</v>
      </c>
      <c r="E54" s="4" t="n">
        <v>18</v>
      </c>
      <c r="F54">
        <f>D54*E54</f>
        <v/>
      </c>
    </row>
    <row r="55">
      <c r="A55" t="inlineStr">
        <is>
          <t>Home Blend (Collective)</t>
        </is>
      </c>
      <c r="B55" t="inlineStr">
        <is>
          <t>Doppio Freddo</t>
        </is>
      </c>
      <c r="C55" t="inlineStr">
        <is>
          <t>2026-05</t>
        </is>
      </c>
      <c r="D55" t="n">
        <v>260</v>
      </c>
      <c r="E55" s="4" t="n">
        <v>18</v>
      </c>
      <c r="F55">
        <f>D55*E55</f>
        <v/>
      </c>
    </row>
    <row r="56">
      <c r="A56" t="inlineStr">
        <is>
          <t>Home Blend (Collective)</t>
        </is>
      </c>
      <c r="B56" t="inlineStr">
        <is>
          <t>Doppio Freddo</t>
        </is>
      </c>
      <c r="C56" t="inlineStr">
        <is>
          <t>2026-06</t>
        </is>
      </c>
      <c r="D56" t="n">
        <v>262</v>
      </c>
      <c r="E56" s="4" t="n">
        <v>18</v>
      </c>
      <c r="F56">
        <f>D56*E56</f>
        <v/>
      </c>
    </row>
    <row r="57">
      <c r="A57" t="inlineStr">
        <is>
          <t>Home Blend (Collective)</t>
        </is>
      </c>
      <c r="B57" t="inlineStr">
        <is>
          <t>Doppio Freddo</t>
        </is>
      </c>
      <c r="C57" t="inlineStr">
        <is>
          <t>2026-07</t>
        </is>
      </c>
      <c r="D57" t="n">
        <v>173</v>
      </c>
      <c r="E57" s="4" t="n">
        <v>18</v>
      </c>
      <c r="F57">
        <f>D57*E57</f>
        <v/>
      </c>
    </row>
    <row r="58">
      <c r="A58" t="inlineStr">
        <is>
          <t>Home Blend (Collective)</t>
        </is>
      </c>
      <c r="B58" t="inlineStr">
        <is>
          <t>Peanut Butter Mocha</t>
        </is>
      </c>
      <c r="C58" t="inlineStr">
        <is>
          <t>2026-04</t>
        </is>
      </c>
      <c r="D58" t="n">
        <v>179</v>
      </c>
      <c r="E58" s="4" t="n">
        <v>18</v>
      </c>
      <c r="F58">
        <f>D58*E58</f>
        <v/>
      </c>
    </row>
    <row r="59">
      <c r="A59" t="inlineStr">
        <is>
          <t>Home Blend (Collective)</t>
        </is>
      </c>
      <c r="B59" t="inlineStr">
        <is>
          <t>Peanut Butter Mocha</t>
        </is>
      </c>
      <c r="C59" t="inlineStr">
        <is>
          <t>2026-05</t>
        </is>
      </c>
      <c r="D59" t="n">
        <v>208</v>
      </c>
      <c r="E59" s="4" t="n">
        <v>18</v>
      </c>
      <c r="F59">
        <f>D59*E59</f>
        <v/>
      </c>
    </row>
    <row r="60">
      <c r="A60" t="inlineStr">
        <is>
          <t>Home Blend (Collective)</t>
        </is>
      </c>
      <c r="B60" t="inlineStr">
        <is>
          <t>Peanut Butter Mocha</t>
        </is>
      </c>
      <c r="C60" t="inlineStr">
        <is>
          <t>2026-06</t>
        </is>
      </c>
      <c r="D60" t="n">
        <v>159</v>
      </c>
      <c r="E60" s="4" t="n">
        <v>18</v>
      </c>
      <c r="F60">
        <f>D60*E60</f>
        <v/>
      </c>
    </row>
    <row r="61">
      <c r="A61" t="inlineStr">
        <is>
          <t>Home Blend (Collective)</t>
        </is>
      </c>
      <c r="B61" t="inlineStr">
        <is>
          <t>Peanut Butter Mocha</t>
        </is>
      </c>
      <c r="C61" t="inlineStr">
        <is>
          <t>2026-07</t>
        </is>
      </c>
      <c r="D61" t="n">
        <v>146</v>
      </c>
      <c r="E61" s="4" t="n">
        <v>18</v>
      </c>
      <c r="F61">
        <f>D61*E61</f>
        <v/>
      </c>
    </row>
    <row r="62">
      <c r="A62" t="inlineStr">
        <is>
          <t>Home Blend (Collective)</t>
        </is>
      </c>
      <c r="B62" t="inlineStr">
        <is>
          <t>Piccolo</t>
        </is>
      </c>
      <c r="C62" t="inlineStr">
        <is>
          <t>2026-04</t>
        </is>
      </c>
      <c r="D62" t="n">
        <v>177</v>
      </c>
      <c r="E62" s="4" t="n">
        <v>18</v>
      </c>
      <c r="F62">
        <f>D62*E62</f>
        <v/>
      </c>
    </row>
    <row r="63">
      <c r="A63" t="inlineStr">
        <is>
          <t>Home Blend (Collective)</t>
        </is>
      </c>
      <c r="B63" t="inlineStr">
        <is>
          <t>Piccolo</t>
        </is>
      </c>
      <c r="C63" t="inlineStr">
        <is>
          <t>2026-05</t>
        </is>
      </c>
      <c r="D63" t="n">
        <v>170</v>
      </c>
      <c r="E63" s="4" t="n">
        <v>18</v>
      </c>
      <c r="F63">
        <f>D63*E63</f>
        <v/>
      </c>
    </row>
    <row r="64">
      <c r="A64" t="inlineStr">
        <is>
          <t>Home Blend (Collective)</t>
        </is>
      </c>
      <c r="B64" t="inlineStr">
        <is>
          <t>Piccolo</t>
        </is>
      </c>
      <c r="C64" t="inlineStr">
        <is>
          <t>2026-06</t>
        </is>
      </c>
      <c r="D64" t="n">
        <v>182</v>
      </c>
      <c r="E64" s="4" t="n">
        <v>18</v>
      </c>
      <c r="F64">
        <f>D64*E64</f>
        <v/>
      </c>
    </row>
    <row r="65">
      <c r="A65" t="inlineStr">
        <is>
          <t>Home Blend (Collective)</t>
        </is>
      </c>
      <c r="B65" t="inlineStr">
        <is>
          <t>Piccolo</t>
        </is>
      </c>
      <c r="C65" t="inlineStr">
        <is>
          <t>2026-07</t>
        </is>
      </c>
      <c r="D65" t="n">
        <v>136</v>
      </c>
      <c r="E65" s="4" t="n">
        <v>18</v>
      </c>
      <c r="F65">
        <f>D65*E65</f>
        <v/>
      </c>
    </row>
    <row r="66">
      <c r="A66" t="inlineStr">
        <is>
          <t>Home Blend (Collective)</t>
        </is>
      </c>
      <c r="B66" t="inlineStr">
        <is>
          <t>White Mocha</t>
        </is>
      </c>
      <c r="C66" t="inlineStr">
        <is>
          <t>2026-04</t>
        </is>
      </c>
      <c r="D66" t="n">
        <v>147</v>
      </c>
      <c r="E66" s="4" t="n">
        <v>18</v>
      </c>
      <c r="F66">
        <f>D66*E66</f>
        <v/>
      </c>
    </row>
    <row r="67">
      <c r="A67" t="inlineStr">
        <is>
          <t>Home Blend (Collective)</t>
        </is>
      </c>
      <c r="B67" t="inlineStr">
        <is>
          <t>White Mocha</t>
        </is>
      </c>
      <c r="C67" t="inlineStr">
        <is>
          <t>2026-05</t>
        </is>
      </c>
      <c r="D67" t="n">
        <v>118</v>
      </c>
      <c r="E67" s="4" t="n">
        <v>18</v>
      </c>
      <c r="F67">
        <f>D67*E67</f>
        <v/>
      </c>
    </row>
    <row r="68">
      <c r="A68" t="inlineStr">
        <is>
          <t>Home Blend (Collective)</t>
        </is>
      </c>
      <c r="B68" t="inlineStr">
        <is>
          <t>White Mocha</t>
        </is>
      </c>
      <c r="C68" t="inlineStr">
        <is>
          <t>2026-06</t>
        </is>
      </c>
      <c r="D68" t="n">
        <v>106</v>
      </c>
      <c r="E68" s="4" t="n">
        <v>18</v>
      </c>
      <c r="F68">
        <f>D68*E68</f>
        <v/>
      </c>
    </row>
    <row r="69">
      <c r="A69" t="inlineStr">
        <is>
          <t>Home Blend (Collective)</t>
        </is>
      </c>
      <c r="B69" t="inlineStr">
        <is>
          <t>White Mocha</t>
        </is>
      </c>
      <c r="C69" t="inlineStr">
        <is>
          <t>2026-07</t>
        </is>
      </c>
      <c r="D69" t="n">
        <v>87</v>
      </c>
      <c r="E69" s="4" t="n">
        <v>18</v>
      </c>
      <c r="F69">
        <f>D69*E69</f>
        <v/>
      </c>
    </row>
    <row r="70">
      <c r="A70" t="inlineStr">
        <is>
          <t>Home Blend (Collective)</t>
        </is>
      </c>
      <c r="B70" t="inlineStr">
        <is>
          <t>Espresso</t>
        </is>
      </c>
      <c r="C70" t="inlineStr">
        <is>
          <t>2026-04</t>
        </is>
      </c>
      <c r="D70" t="n">
        <v>133</v>
      </c>
      <c r="E70" s="4" t="n">
        <v>18</v>
      </c>
      <c r="F70">
        <f>D70*E70</f>
        <v/>
      </c>
    </row>
    <row r="71">
      <c r="A71" t="inlineStr">
        <is>
          <t>Home Blend (Collective)</t>
        </is>
      </c>
      <c r="B71" t="inlineStr">
        <is>
          <t>Espresso</t>
        </is>
      </c>
      <c r="C71" t="inlineStr">
        <is>
          <t>2026-05</t>
        </is>
      </c>
      <c r="D71" t="n">
        <v>137</v>
      </c>
      <c r="E71" s="4" t="n">
        <v>18</v>
      </c>
      <c r="F71">
        <f>D71*E71</f>
        <v/>
      </c>
    </row>
    <row r="72">
      <c r="A72" t="inlineStr">
        <is>
          <t>Home Blend (Collective)</t>
        </is>
      </c>
      <c r="B72" t="inlineStr">
        <is>
          <t>Espresso</t>
        </is>
      </c>
      <c r="C72" t="inlineStr">
        <is>
          <t>2026-06</t>
        </is>
      </c>
      <c r="D72" t="n">
        <v>92</v>
      </c>
      <c r="E72" s="4" t="n">
        <v>18</v>
      </c>
      <c r="F72">
        <f>D72*E72</f>
        <v/>
      </c>
    </row>
    <row r="73">
      <c r="A73" t="inlineStr">
        <is>
          <t>Home Blend (Collective)</t>
        </is>
      </c>
      <c r="B73" t="inlineStr">
        <is>
          <t>Espresso</t>
        </is>
      </c>
      <c r="C73" t="inlineStr">
        <is>
          <t>2026-07</t>
        </is>
      </c>
      <c r="D73" t="n">
        <v>98</v>
      </c>
      <c r="E73" s="4" t="n">
        <v>18</v>
      </c>
      <c r="F73">
        <f>D73*E73</f>
        <v/>
      </c>
    </row>
    <row r="74">
      <c r="A74" t="inlineStr">
        <is>
          <t>Home Blend (Collective)</t>
        </is>
      </c>
      <c r="B74" t="inlineStr">
        <is>
          <t>Affogato</t>
        </is>
      </c>
      <c r="C74" t="inlineStr">
        <is>
          <t>2026-04</t>
        </is>
      </c>
      <c r="D74" t="n">
        <v>9</v>
      </c>
      <c r="E74" s="4" t="n">
        <v>18</v>
      </c>
      <c r="F74">
        <f>D74*E74</f>
        <v/>
      </c>
    </row>
    <row r="75">
      <c r="A75" t="inlineStr">
        <is>
          <t>Home Blend (Collective)</t>
        </is>
      </c>
      <c r="B75" t="inlineStr">
        <is>
          <t>Affogato</t>
        </is>
      </c>
      <c r="C75" t="inlineStr">
        <is>
          <t>2026-05</t>
        </is>
      </c>
      <c r="D75" t="n">
        <v>6</v>
      </c>
      <c r="E75" s="4" t="n">
        <v>18</v>
      </c>
      <c r="F75">
        <f>D75*E75</f>
        <v/>
      </c>
    </row>
    <row r="76">
      <c r="A76" t="inlineStr">
        <is>
          <t>Home Blend (Collective)</t>
        </is>
      </c>
      <c r="B76" t="inlineStr">
        <is>
          <t>Affogato</t>
        </is>
      </c>
      <c r="C76" t="inlineStr">
        <is>
          <t>2026-06</t>
        </is>
      </c>
      <c r="D76" t="n">
        <v>8</v>
      </c>
      <c r="E76" s="4" t="n">
        <v>18</v>
      </c>
      <c r="F76">
        <f>D76*E76</f>
        <v/>
      </c>
    </row>
    <row r="77">
      <c r="A77" t="inlineStr">
        <is>
          <t>Home Blend (Collective)</t>
        </is>
      </c>
      <c r="B77" t="inlineStr">
        <is>
          <t>Caramel Latte (Bottle)</t>
        </is>
      </c>
      <c r="C77" t="inlineStr">
        <is>
          <t>2026-06</t>
        </is>
      </c>
      <c r="D77" t="n">
        <v>30</v>
      </c>
      <c r="E77" s="4" t="n">
        <v>18</v>
      </c>
      <c r="F77">
        <f>D77*E77</f>
        <v/>
      </c>
    </row>
    <row r="78">
      <c r="A78" t="inlineStr">
        <is>
          <t>Home Blend (Collective)</t>
        </is>
      </c>
      <c r="B78" t="inlineStr">
        <is>
          <t>Classic Latte (Bottle)</t>
        </is>
      </c>
      <c r="C78" t="inlineStr">
        <is>
          <t>2026-05</t>
        </is>
      </c>
      <c r="D78" t="n">
        <v>6</v>
      </c>
      <c r="E78" s="4" t="n">
        <v>18</v>
      </c>
      <c r="F78">
        <f>D78*E78</f>
        <v/>
      </c>
    </row>
    <row r="79">
      <c r="A79" t="inlineStr">
        <is>
          <t>Home Blend (Collective)</t>
        </is>
      </c>
      <c r="B79" t="inlineStr">
        <is>
          <t>Classic Latte (Bottle)</t>
        </is>
      </c>
      <c r="C79" t="inlineStr">
        <is>
          <t>2026-06</t>
        </is>
      </c>
      <c r="D79" t="n">
        <v>1</v>
      </c>
      <c r="E79" s="4" t="n">
        <v>18</v>
      </c>
      <c r="F79">
        <f>D79*E79</f>
        <v/>
      </c>
    </row>
    <row r="80">
      <c r="A80" t="inlineStr">
        <is>
          <t>Home Blend (Collective)</t>
        </is>
      </c>
      <c r="B80" t="inlineStr">
        <is>
          <t>Mocha (Bottle)</t>
        </is>
      </c>
      <c r="C80" t="inlineStr">
        <is>
          <t>2026-04</t>
        </is>
      </c>
      <c r="D80" t="n">
        <v>1</v>
      </c>
      <c r="E80" s="4" t="n">
        <v>18</v>
      </c>
      <c r="F80">
        <f>D80*E80</f>
        <v/>
      </c>
    </row>
    <row r="81">
      <c r="A81" t="inlineStr">
        <is>
          <t>Fresh Milk</t>
        </is>
      </c>
      <c r="B81" t="inlineStr">
        <is>
          <t>Latte</t>
        </is>
      </c>
      <c r="C81" t="inlineStr">
        <is>
          <t>2026-04</t>
        </is>
      </c>
      <c r="D81" t="n">
        <v>2834</v>
      </c>
      <c r="E81" s="4" t="n">
        <v>120</v>
      </c>
      <c r="F81">
        <f>D81*E81</f>
        <v/>
      </c>
    </row>
    <row r="82">
      <c r="A82" t="inlineStr">
        <is>
          <t>Fresh Milk</t>
        </is>
      </c>
      <c r="B82" t="inlineStr">
        <is>
          <t>Latte</t>
        </is>
      </c>
      <c r="C82" t="inlineStr">
        <is>
          <t>2026-05</t>
        </is>
      </c>
      <c r="D82" t="n">
        <v>2797</v>
      </c>
      <c r="E82" s="4" t="n">
        <v>120</v>
      </c>
      <c r="F82">
        <f>D82*E82</f>
        <v/>
      </c>
    </row>
    <row r="83">
      <c r="A83" t="inlineStr">
        <is>
          <t>Fresh Milk</t>
        </is>
      </c>
      <c r="B83" t="inlineStr">
        <is>
          <t>Latte</t>
        </is>
      </c>
      <c r="C83" t="inlineStr">
        <is>
          <t>2026-06</t>
        </is>
      </c>
      <c r="D83" t="n">
        <v>2730</v>
      </c>
      <c r="E83" s="4" t="n">
        <v>120</v>
      </c>
      <c r="F83">
        <f>D83*E83</f>
        <v/>
      </c>
    </row>
    <row r="84">
      <c r="A84" t="inlineStr">
        <is>
          <t>Fresh Milk</t>
        </is>
      </c>
      <c r="B84" t="inlineStr">
        <is>
          <t>Latte</t>
        </is>
      </c>
      <c r="C84" t="inlineStr">
        <is>
          <t>2026-07</t>
        </is>
      </c>
      <c r="D84" t="n">
        <v>2548</v>
      </c>
      <c r="E84" s="4" t="n">
        <v>120</v>
      </c>
      <c r="F84">
        <f>D84*E84</f>
        <v/>
      </c>
    </row>
    <row r="85">
      <c r="A85" t="inlineStr">
        <is>
          <t>Fresh Milk</t>
        </is>
      </c>
      <c r="B85" t="inlineStr">
        <is>
          <t>Buttercream Latte</t>
        </is>
      </c>
      <c r="C85" t="inlineStr">
        <is>
          <t>2026-04</t>
        </is>
      </c>
      <c r="D85" t="n">
        <v>1604</v>
      </c>
      <c r="E85" s="4" t="n">
        <v>140</v>
      </c>
      <c r="F85">
        <f>D85*E85</f>
        <v/>
      </c>
    </row>
    <row r="86">
      <c r="A86" t="inlineStr">
        <is>
          <t>Fresh Milk</t>
        </is>
      </c>
      <c r="B86" t="inlineStr">
        <is>
          <t>Buttercream Latte</t>
        </is>
      </c>
      <c r="C86" t="inlineStr">
        <is>
          <t>2026-05</t>
        </is>
      </c>
      <c r="D86" t="n">
        <v>1542</v>
      </c>
      <c r="E86" s="4" t="n">
        <v>140</v>
      </c>
      <c r="F86">
        <f>D86*E86</f>
        <v/>
      </c>
    </row>
    <row r="87">
      <c r="A87" t="inlineStr">
        <is>
          <t>Fresh Milk</t>
        </is>
      </c>
      <c r="B87" t="inlineStr">
        <is>
          <t>Buttercream Latte</t>
        </is>
      </c>
      <c r="C87" t="inlineStr">
        <is>
          <t>2026-06</t>
        </is>
      </c>
      <c r="D87" t="n">
        <v>1384</v>
      </c>
      <c r="E87" s="4" t="n">
        <v>140</v>
      </c>
      <c r="F87">
        <f>D87*E87</f>
        <v/>
      </c>
    </row>
    <row r="88">
      <c r="A88" t="inlineStr">
        <is>
          <t>Fresh Milk</t>
        </is>
      </c>
      <c r="B88" t="inlineStr">
        <is>
          <t>Buttercream Latte</t>
        </is>
      </c>
      <c r="C88" t="inlineStr">
        <is>
          <t>2026-07</t>
        </is>
      </c>
      <c r="D88" t="n">
        <v>1267</v>
      </c>
      <c r="E88" s="4" t="n">
        <v>140</v>
      </c>
      <c r="F88">
        <f>D88*E88</f>
        <v/>
      </c>
    </row>
    <row r="89">
      <c r="A89" t="inlineStr">
        <is>
          <t>Fresh Milk</t>
        </is>
      </c>
      <c r="B89" t="inlineStr">
        <is>
          <t>Spanish Latte</t>
        </is>
      </c>
      <c r="C89" t="inlineStr">
        <is>
          <t>2026-04</t>
        </is>
      </c>
      <c r="D89" t="n">
        <v>817</v>
      </c>
      <c r="E89" s="4" t="n">
        <v>120</v>
      </c>
      <c r="F89">
        <f>D89*E89</f>
        <v/>
      </c>
    </row>
    <row r="90">
      <c r="A90" t="inlineStr">
        <is>
          <t>Fresh Milk</t>
        </is>
      </c>
      <c r="B90" t="inlineStr">
        <is>
          <t>Spanish Latte</t>
        </is>
      </c>
      <c r="C90" t="inlineStr">
        <is>
          <t>2026-05</t>
        </is>
      </c>
      <c r="D90" t="n">
        <v>724</v>
      </c>
      <c r="E90" s="4" t="n">
        <v>120</v>
      </c>
      <c r="F90">
        <f>D90*E90</f>
        <v/>
      </c>
    </row>
    <row r="91">
      <c r="A91" t="inlineStr">
        <is>
          <t>Fresh Milk</t>
        </is>
      </c>
      <c r="B91" t="inlineStr">
        <is>
          <t>Spanish Latte</t>
        </is>
      </c>
      <c r="C91" t="inlineStr">
        <is>
          <t>2026-06</t>
        </is>
      </c>
      <c r="D91" t="n">
        <v>848</v>
      </c>
      <c r="E91" s="4" t="n">
        <v>120</v>
      </c>
      <c r="F91">
        <f>D91*E91</f>
        <v/>
      </c>
    </row>
    <row r="92">
      <c r="A92" t="inlineStr">
        <is>
          <t>Fresh Milk</t>
        </is>
      </c>
      <c r="B92" t="inlineStr">
        <is>
          <t>Spanish Latte</t>
        </is>
      </c>
      <c r="C92" t="inlineStr">
        <is>
          <t>2026-07</t>
        </is>
      </c>
      <c r="D92" t="n">
        <v>763</v>
      </c>
      <c r="E92" s="4" t="n">
        <v>120</v>
      </c>
      <c r="F92">
        <f>D92*E92</f>
        <v/>
      </c>
    </row>
    <row r="93">
      <c r="A93" t="inlineStr">
        <is>
          <t>Fresh Milk</t>
        </is>
      </c>
      <c r="B93" t="inlineStr">
        <is>
          <t>Strawberry Matcha</t>
        </is>
      </c>
      <c r="C93" t="inlineStr">
        <is>
          <t>2026-04</t>
        </is>
      </c>
      <c r="D93" t="n">
        <v>634</v>
      </c>
      <c r="E93" s="4" t="n">
        <v>140</v>
      </c>
      <c r="F93">
        <f>D93*E93</f>
        <v/>
      </c>
    </row>
    <row r="94">
      <c r="A94" t="inlineStr">
        <is>
          <t>Fresh Milk</t>
        </is>
      </c>
      <c r="B94" t="inlineStr">
        <is>
          <t>Strawberry Matcha</t>
        </is>
      </c>
      <c r="C94" t="inlineStr">
        <is>
          <t>2026-05</t>
        </is>
      </c>
      <c r="D94" t="n">
        <v>685</v>
      </c>
      <c r="E94" s="4" t="n">
        <v>140</v>
      </c>
      <c r="F94">
        <f>D94*E94</f>
        <v/>
      </c>
    </row>
    <row r="95">
      <c r="A95" t="inlineStr">
        <is>
          <t>Fresh Milk</t>
        </is>
      </c>
      <c r="B95" t="inlineStr">
        <is>
          <t>Strawberry Matcha</t>
        </is>
      </c>
      <c r="C95" t="inlineStr">
        <is>
          <t>2026-06</t>
        </is>
      </c>
      <c r="D95" t="n">
        <v>562</v>
      </c>
      <c r="E95" s="4" t="n">
        <v>140</v>
      </c>
      <c r="F95">
        <f>D95*E95</f>
        <v/>
      </c>
    </row>
    <row r="96">
      <c r="A96" t="inlineStr">
        <is>
          <t>Fresh Milk</t>
        </is>
      </c>
      <c r="B96" t="inlineStr">
        <is>
          <t>Strawberry Matcha</t>
        </is>
      </c>
      <c r="C96" t="inlineStr">
        <is>
          <t>2026-07</t>
        </is>
      </c>
      <c r="D96" t="n">
        <v>585</v>
      </c>
      <c r="E96" s="4" t="n">
        <v>140</v>
      </c>
      <c r="F96">
        <f>D96*E96</f>
        <v/>
      </c>
    </row>
    <row r="97">
      <c r="A97" t="inlineStr">
        <is>
          <t>Fresh Milk</t>
        </is>
      </c>
      <c r="B97" t="inlineStr">
        <is>
          <t>Chocolate</t>
        </is>
      </c>
      <c r="C97" t="inlineStr">
        <is>
          <t>2026-04</t>
        </is>
      </c>
      <c r="D97" t="n">
        <v>586</v>
      </c>
      <c r="E97" s="4" t="n">
        <v>120</v>
      </c>
      <c r="F97">
        <f>D97*E97</f>
        <v/>
      </c>
    </row>
    <row r="98">
      <c r="A98" t="inlineStr">
        <is>
          <t>Fresh Milk</t>
        </is>
      </c>
      <c r="B98" t="inlineStr">
        <is>
          <t>Chocolate</t>
        </is>
      </c>
      <c r="C98" t="inlineStr">
        <is>
          <t>2026-05</t>
        </is>
      </c>
      <c r="D98" t="n">
        <v>650</v>
      </c>
      <c r="E98" s="4" t="n">
        <v>120</v>
      </c>
      <c r="F98">
        <f>D98*E98</f>
        <v/>
      </c>
    </row>
    <row r="99">
      <c r="A99" t="inlineStr">
        <is>
          <t>Fresh Milk</t>
        </is>
      </c>
      <c r="B99" t="inlineStr">
        <is>
          <t>Chocolate</t>
        </is>
      </c>
      <c r="C99" t="inlineStr">
        <is>
          <t>2026-06</t>
        </is>
      </c>
      <c r="D99" t="n">
        <v>507</v>
      </c>
      <c r="E99" s="4" t="n">
        <v>120</v>
      </c>
      <c r="F99">
        <f>D99*E99</f>
        <v/>
      </c>
    </row>
    <row r="100">
      <c r="A100" t="inlineStr">
        <is>
          <t>Fresh Milk</t>
        </is>
      </c>
      <c r="B100" t="inlineStr">
        <is>
          <t>Chocolate</t>
        </is>
      </c>
      <c r="C100" t="inlineStr">
        <is>
          <t>2026-07</t>
        </is>
      </c>
      <c r="D100" t="n">
        <v>467</v>
      </c>
      <c r="E100" s="4" t="n">
        <v>120</v>
      </c>
      <c r="F100">
        <f>D100*E100</f>
        <v/>
      </c>
    </row>
    <row r="101">
      <c r="A101" t="inlineStr">
        <is>
          <t>Fresh Milk</t>
        </is>
      </c>
      <c r="B101" t="inlineStr">
        <is>
          <t>Matcha Cream Latte</t>
        </is>
      </c>
      <c r="C101" t="inlineStr">
        <is>
          <t>2026-04</t>
        </is>
      </c>
      <c r="D101" t="n">
        <v>526</v>
      </c>
      <c r="E101" s="4" t="n">
        <v>140</v>
      </c>
      <c r="F101">
        <f>D101*E101</f>
        <v/>
      </c>
    </row>
    <row r="102">
      <c r="A102" t="inlineStr">
        <is>
          <t>Fresh Milk</t>
        </is>
      </c>
      <c r="B102" t="inlineStr">
        <is>
          <t>Matcha Cream Latte</t>
        </is>
      </c>
      <c r="C102" t="inlineStr">
        <is>
          <t>2026-05</t>
        </is>
      </c>
      <c r="D102" t="n">
        <v>450</v>
      </c>
      <c r="E102" s="4" t="n">
        <v>140</v>
      </c>
      <c r="F102">
        <f>D102*E102</f>
        <v/>
      </c>
    </row>
    <row r="103">
      <c r="A103" t="inlineStr">
        <is>
          <t>Fresh Milk</t>
        </is>
      </c>
      <c r="B103" t="inlineStr">
        <is>
          <t>Matcha Cream Latte</t>
        </is>
      </c>
      <c r="C103" t="inlineStr">
        <is>
          <t>2026-06</t>
        </is>
      </c>
      <c r="D103" t="n">
        <v>469</v>
      </c>
      <c r="E103" s="4" t="n">
        <v>140</v>
      </c>
      <c r="F103">
        <f>D103*E103</f>
        <v/>
      </c>
    </row>
    <row r="104">
      <c r="A104" t="inlineStr">
        <is>
          <t>Fresh Milk</t>
        </is>
      </c>
      <c r="B104" t="inlineStr">
        <is>
          <t>Matcha Cream Latte</t>
        </is>
      </c>
      <c r="C104" t="inlineStr">
        <is>
          <t>2026-07</t>
        </is>
      </c>
      <c r="D104" t="n">
        <v>445</v>
      </c>
      <c r="E104" s="4" t="n">
        <v>140</v>
      </c>
      <c r="F104">
        <f>D104*E104</f>
        <v/>
      </c>
    </row>
    <row r="105">
      <c r="A105" t="inlineStr">
        <is>
          <t>Fresh Milk</t>
        </is>
      </c>
      <c r="B105" t="inlineStr">
        <is>
          <t>Matcha</t>
        </is>
      </c>
      <c r="C105" t="inlineStr">
        <is>
          <t>2026-04</t>
        </is>
      </c>
      <c r="D105" t="n">
        <v>507</v>
      </c>
      <c r="E105" s="4" t="n">
        <v>120</v>
      </c>
      <c r="F105">
        <f>D105*E105</f>
        <v/>
      </c>
    </row>
    <row r="106">
      <c r="A106" t="inlineStr">
        <is>
          <t>Fresh Milk</t>
        </is>
      </c>
      <c r="B106" t="inlineStr">
        <is>
          <t>Matcha</t>
        </is>
      </c>
      <c r="C106" t="inlineStr">
        <is>
          <t>2026-05</t>
        </is>
      </c>
      <c r="D106" t="n">
        <v>437</v>
      </c>
      <c r="E106" s="4" t="n">
        <v>120</v>
      </c>
      <c r="F106">
        <f>D106*E106</f>
        <v/>
      </c>
    </row>
    <row r="107">
      <c r="A107" t="inlineStr">
        <is>
          <t>Fresh Milk</t>
        </is>
      </c>
      <c r="B107" t="inlineStr">
        <is>
          <t>Matcha</t>
        </is>
      </c>
      <c r="C107" t="inlineStr">
        <is>
          <t>2026-06</t>
        </is>
      </c>
      <c r="D107" t="n">
        <v>449</v>
      </c>
      <c r="E107" s="4" t="n">
        <v>120</v>
      </c>
      <c r="F107">
        <f>D107*E107</f>
        <v/>
      </c>
    </row>
    <row r="108">
      <c r="A108" t="inlineStr">
        <is>
          <t>Fresh Milk</t>
        </is>
      </c>
      <c r="B108" t="inlineStr">
        <is>
          <t>Matcha</t>
        </is>
      </c>
      <c r="C108" t="inlineStr">
        <is>
          <t>2026-07</t>
        </is>
      </c>
      <c r="D108" t="n">
        <v>365</v>
      </c>
      <c r="E108" s="4" t="n">
        <v>120</v>
      </c>
      <c r="F108">
        <f>D108*E108</f>
        <v/>
      </c>
    </row>
    <row r="109">
      <c r="A109" t="inlineStr">
        <is>
          <t>Fresh Milk</t>
        </is>
      </c>
      <c r="B109" t="inlineStr">
        <is>
          <t>Cappucino</t>
        </is>
      </c>
      <c r="C109" t="inlineStr">
        <is>
          <t>2026-04</t>
        </is>
      </c>
      <c r="D109" t="n">
        <v>472</v>
      </c>
      <c r="E109" s="4" t="n">
        <v>120</v>
      </c>
      <c r="F109">
        <f>D109*E109</f>
        <v/>
      </c>
    </row>
    <row r="110">
      <c r="A110" t="inlineStr">
        <is>
          <t>Fresh Milk</t>
        </is>
      </c>
      <c r="B110" t="inlineStr">
        <is>
          <t>Cappucino</t>
        </is>
      </c>
      <c r="C110" t="inlineStr">
        <is>
          <t>2026-05</t>
        </is>
      </c>
      <c r="D110" t="n">
        <v>528</v>
      </c>
      <c r="E110" s="4" t="n">
        <v>120</v>
      </c>
      <c r="F110">
        <f>D110*E110</f>
        <v/>
      </c>
    </row>
    <row r="111">
      <c r="A111" t="inlineStr">
        <is>
          <t>Fresh Milk</t>
        </is>
      </c>
      <c r="B111" t="inlineStr">
        <is>
          <t>Cappucino</t>
        </is>
      </c>
      <c r="C111" t="inlineStr">
        <is>
          <t>2026-06</t>
        </is>
      </c>
      <c r="D111" t="n">
        <v>503</v>
      </c>
      <c r="E111" s="4" t="n">
        <v>120</v>
      </c>
      <c r="F111">
        <f>D111*E111</f>
        <v/>
      </c>
    </row>
    <row r="112">
      <c r="A112" t="inlineStr">
        <is>
          <t>Fresh Milk</t>
        </is>
      </c>
      <c r="B112" t="inlineStr">
        <is>
          <t>Cappucino</t>
        </is>
      </c>
      <c r="C112" t="inlineStr">
        <is>
          <t>2026-07</t>
        </is>
      </c>
      <c r="D112" t="n">
        <v>529</v>
      </c>
      <c r="E112" s="4" t="n">
        <v>120</v>
      </c>
      <c r="F112">
        <f>D112*E112</f>
        <v/>
      </c>
    </row>
    <row r="113">
      <c r="A113" t="inlineStr">
        <is>
          <t>Fresh Milk</t>
        </is>
      </c>
      <c r="B113" t="inlineStr">
        <is>
          <t>Mont Blanc</t>
        </is>
      </c>
      <c r="C113" t="inlineStr">
        <is>
          <t>2026-04</t>
        </is>
      </c>
      <c r="D113" t="n">
        <v>475</v>
      </c>
      <c r="E113" s="4" t="n">
        <v>25</v>
      </c>
      <c r="F113">
        <f>D113*E113</f>
        <v/>
      </c>
    </row>
    <row r="114">
      <c r="A114" t="inlineStr">
        <is>
          <t>Fresh Milk</t>
        </is>
      </c>
      <c r="B114" t="inlineStr">
        <is>
          <t>Mont Blanc</t>
        </is>
      </c>
      <c r="C114" t="inlineStr">
        <is>
          <t>2026-05</t>
        </is>
      </c>
      <c r="D114" t="n">
        <v>521</v>
      </c>
      <c r="E114" s="4" t="n">
        <v>25</v>
      </c>
      <c r="F114">
        <f>D114*E114</f>
        <v/>
      </c>
    </row>
    <row r="115">
      <c r="A115" t="inlineStr">
        <is>
          <t>Fresh Milk</t>
        </is>
      </c>
      <c r="B115" t="inlineStr">
        <is>
          <t>Mont Blanc</t>
        </is>
      </c>
      <c r="C115" t="inlineStr">
        <is>
          <t>2026-06</t>
        </is>
      </c>
      <c r="D115" t="n">
        <v>558</v>
      </c>
      <c r="E115" s="4" t="n">
        <v>25</v>
      </c>
      <c r="F115">
        <f>D115*E115</f>
        <v/>
      </c>
    </row>
    <row r="116">
      <c r="A116" t="inlineStr">
        <is>
          <t>Fresh Milk</t>
        </is>
      </c>
      <c r="B116" t="inlineStr">
        <is>
          <t>Mont Blanc</t>
        </is>
      </c>
      <c r="C116" t="inlineStr">
        <is>
          <t>2026-07</t>
        </is>
      </c>
      <c r="D116" t="n">
        <v>527</v>
      </c>
      <c r="E116" s="4" t="n">
        <v>25</v>
      </c>
      <c r="F116">
        <f>D116*E116</f>
        <v/>
      </c>
    </row>
    <row r="117">
      <c r="A117" t="inlineStr">
        <is>
          <t>Fresh Milk</t>
        </is>
      </c>
      <c r="B117" t="inlineStr">
        <is>
          <t>Buttercream Chocolate</t>
        </is>
      </c>
      <c r="C117" t="inlineStr">
        <is>
          <t>2026-04</t>
        </is>
      </c>
      <c r="D117" t="n">
        <v>440</v>
      </c>
      <c r="E117" s="4" t="n">
        <v>140</v>
      </c>
      <c r="F117">
        <f>D117*E117</f>
        <v/>
      </c>
    </row>
    <row r="118">
      <c r="A118" t="inlineStr">
        <is>
          <t>Fresh Milk</t>
        </is>
      </c>
      <c r="B118" t="inlineStr">
        <is>
          <t>Buttercream Chocolate</t>
        </is>
      </c>
      <c r="C118" t="inlineStr">
        <is>
          <t>2026-05</t>
        </is>
      </c>
      <c r="D118" t="n">
        <v>515</v>
      </c>
      <c r="E118" s="4" t="n">
        <v>140</v>
      </c>
      <c r="F118">
        <f>D118*E118</f>
        <v/>
      </c>
    </row>
    <row r="119">
      <c r="A119" t="inlineStr">
        <is>
          <t>Fresh Milk</t>
        </is>
      </c>
      <c r="B119" t="inlineStr">
        <is>
          <t>Buttercream Chocolate</t>
        </is>
      </c>
      <c r="C119" t="inlineStr">
        <is>
          <t>2026-06</t>
        </is>
      </c>
      <c r="D119" t="n">
        <v>430</v>
      </c>
      <c r="E119" s="4" t="n">
        <v>140</v>
      </c>
      <c r="F119">
        <f>D119*E119</f>
        <v/>
      </c>
    </row>
    <row r="120">
      <c r="A120" t="inlineStr">
        <is>
          <t>Fresh Milk</t>
        </is>
      </c>
      <c r="B120" t="inlineStr">
        <is>
          <t>Buttercream Chocolate</t>
        </is>
      </c>
      <c r="C120" t="inlineStr">
        <is>
          <t>2026-07</t>
        </is>
      </c>
      <c r="D120" t="n">
        <v>480</v>
      </c>
      <c r="E120" s="4" t="n">
        <v>140</v>
      </c>
      <c r="F120">
        <f>D120*E120</f>
        <v/>
      </c>
    </row>
    <row r="121">
      <c r="A121" t="inlineStr">
        <is>
          <t>Fresh Milk</t>
        </is>
      </c>
      <c r="B121" t="inlineStr">
        <is>
          <t>Caramel Macchiato</t>
        </is>
      </c>
      <c r="C121" t="inlineStr">
        <is>
          <t>2026-04</t>
        </is>
      </c>
      <c r="D121" t="n">
        <v>359</v>
      </c>
      <c r="E121" s="4" t="n">
        <v>120</v>
      </c>
      <c r="F121">
        <f>D121*E121</f>
        <v/>
      </c>
    </row>
    <row r="122">
      <c r="A122" t="inlineStr">
        <is>
          <t>Fresh Milk</t>
        </is>
      </c>
      <c r="B122" t="inlineStr">
        <is>
          <t>Caramel Macchiato</t>
        </is>
      </c>
      <c r="C122" t="inlineStr">
        <is>
          <t>2026-05</t>
        </is>
      </c>
      <c r="D122" t="n">
        <v>330</v>
      </c>
      <c r="E122" s="4" t="n">
        <v>120</v>
      </c>
      <c r="F122">
        <f>D122*E122</f>
        <v/>
      </c>
    </row>
    <row r="123">
      <c r="A123" t="inlineStr">
        <is>
          <t>Fresh Milk</t>
        </is>
      </c>
      <c r="B123" t="inlineStr">
        <is>
          <t>Caramel Macchiato</t>
        </is>
      </c>
      <c r="C123" t="inlineStr">
        <is>
          <t>2026-06</t>
        </is>
      </c>
      <c r="D123" t="n">
        <v>329</v>
      </c>
      <c r="E123" s="4" t="n">
        <v>120</v>
      </c>
      <c r="F123">
        <f>D123*E123</f>
        <v/>
      </c>
    </row>
    <row r="124">
      <c r="A124" t="inlineStr">
        <is>
          <t>Fresh Milk</t>
        </is>
      </c>
      <c r="B124" t="inlineStr">
        <is>
          <t>Caramel Macchiato</t>
        </is>
      </c>
      <c r="C124" t="inlineStr">
        <is>
          <t>2026-07</t>
        </is>
      </c>
      <c r="D124" t="n">
        <v>250</v>
      </c>
      <c r="E124" s="4" t="n">
        <v>120</v>
      </c>
      <c r="F124">
        <f>D124*E124</f>
        <v/>
      </c>
    </row>
    <row r="125">
      <c r="A125" t="inlineStr">
        <is>
          <t>Fresh Milk</t>
        </is>
      </c>
      <c r="B125" t="inlineStr">
        <is>
          <t>Hazelnut Latte</t>
        </is>
      </c>
      <c r="C125" t="inlineStr">
        <is>
          <t>2026-04</t>
        </is>
      </c>
      <c r="D125" t="n">
        <v>352</v>
      </c>
      <c r="E125" s="4" t="n">
        <v>120</v>
      </c>
      <c r="F125">
        <f>D125*E125</f>
        <v/>
      </c>
    </row>
    <row r="126">
      <c r="A126" t="inlineStr">
        <is>
          <t>Fresh Milk</t>
        </is>
      </c>
      <c r="B126" t="inlineStr">
        <is>
          <t>Hazelnut Latte</t>
        </is>
      </c>
      <c r="C126" t="inlineStr">
        <is>
          <t>2026-05</t>
        </is>
      </c>
      <c r="D126" t="n">
        <v>302</v>
      </c>
      <c r="E126" s="4" t="n">
        <v>120</v>
      </c>
      <c r="F126">
        <f>D126*E126</f>
        <v/>
      </c>
    </row>
    <row r="127">
      <c r="A127" t="inlineStr">
        <is>
          <t>Fresh Milk</t>
        </is>
      </c>
      <c r="B127" t="inlineStr">
        <is>
          <t>Hazelnut Latte</t>
        </is>
      </c>
      <c r="C127" t="inlineStr">
        <is>
          <t>2026-06</t>
        </is>
      </c>
      <c r="D127" t="n">
        <v>298</v>
      </c>
      <c r="E127" s="4" t="n">
        <v>120</v>
      </c>
      <c r="F127">
        <f>D127*E127</f>
        <v/>
      </c>
    </row>
    <row r="128">
      <c r="A128" t="inlineStr">
        <is>
          <t>Fresh Milk</t>
        </is>
      </c>
      <c r="B128" t="inlineStr">
        <is>
          <t>Hazelnut Latte</t>
        </is>
      </c>
      <c r="C128" t="inlineStr">
        <is>
          <t>2026-07</t>
        </is>
      </c>
      <c r="D128" t="n">
        <v>285</v>
      </c>
      <c r="E128" s="4" t="n">
        <v>120</v>
      </c>
      <c r="F128">
        <f>D128*E128</f>
        <v/>
      </c>
    </row>
    <row r="129">
      <c r="A129" t="inlineStr">
        <is>
          <t>Fresh Milk</t>
        </is>
      </c>
      <c r="B129" t="inlineStr">
        <is>
          <t>Salted Caramel Latte</t>
        </is>
      </c>
      <c r="C129" t="inlineStr">
        <is>
          <t>2026-04</t>
        </is>
      </c>
      <c r="D129" t="n">
        <v>346</v>
      </c>
      <c r="E129" s="4" t="n">
        <v>120</v>
      </c>
      <c r="F129">
        <f>D129*E129</f>
        <v/>
      </c>
    </row>
    <row r="130">
      <c r="A130" t="inlineStr">
        <is>
          <t>Fresh Milk</t>
        </is>
      </c>
      <c r="B130" t="inlineStr">
        <is>
          <t>Salted Caramel Latte</t>
        </is>
      </c>
      <c r="C130" t="inlineStr">
        <is>
          <t>2026-05</t>
        </is>
      </c>
      <c r="D130" t="n">
        <v>338</v>
      </c>
      <c r="E130" s="4" t="n">
        <v>120</v>
      </c>
      <c r="F130">
        <f>D130*E130</f>
        <v/>
      </c>
    </row>
    <row r="131">
      <c r="A131" t="inlineStr">
        <is>
          <t>Fresh Milk</t>
        </is>
      </c>
      <c r="B131" t="inlineStr">
        <is>
          <t>Salted Caramel Latte</t>
        </is>
      </c>
      <c r="C131" t="inlineStr">
        <is>
          <t>2026-06</t>
        </is>
      </c>
      <c r="D131" t="n">
        <v>330</v>
      </c>
      <c r="E131" s="4" t="n">
        <v>120</v>
      </c>
      <c r="F131">
        <f>D131*E131</f>
        <v/>
      </c>
    </row>
    <row r="132">
      <c r="A132" t="inlineStr">
        <is>
          <t>Fresh Milk</t>
        </is>
      </c>
      <c r="B132" t="inlineStr">
        <is>
          <t>Salted Caramel Latte</t>
        </is>
      </c>
      <c r="C132" t="inlineStr">
        <is>
          <t>2026-07</t>
        </is>
      </c>
      <c r="D132" t="n">
        <v>312</v>
      </c>
      <c r="E132" s="4" t="n">
        <v>120</v>
      </c>
      <c r="F132">
        <f>D132*E132</f>
        <v/>
      </c>
    </row>
    <row r="133">
      <c r="A133" t="inlineStr">
        <is>
          <t>Fresh Milk</t>
        </is>
      </c>
      <c r="B133" t="inlineStr">
        <is>
          <t>Vanilla Latte</t>
        </is>
      </c>
      <c r="C133" t="inlineStr">
        <is>
          <t>2026-04</t>
        </is>
      </c>
      <c r="D133" t="n">
        <v>332</v>
      </c>
      <c r="E133" s="4" t="n">
        <v>120</v>
      </c>
      <c r="F133">
        <f>D133*E133</f>
        <v/>
      </c>
    </row>
    <row r="134">
      <c r="A134" t="inlineStr">
        <is>
          <t>Fresh Milk</t>
        </is>
      </c>
      <c r="B134" t="inlineStr">
        <is>
          <t>Vanilla Latte</t>
        </is>
      </c>
      <c r="C134" t="inlineStr">
        <is>
          <t>2026-05</t>
        </is>
      </c>
      <c r="D134" t="n">
        <v>250</v>
      </c>
      <c r="E134" s="4" t="n">
        <v>120</v>
      </c>
      <c r="F134">
        <f>D134*E134</f>
        <v/>
      </c>
    </row>
    <row r="135">
      <c r="A135" t="inlineStr">
        <is>
          <t>Fresh Milk</t>
        </is>
      </c>
      <c r="B135" t="inlineStr">
        <is>
          <t>Vanilla Latte</t>
        </is>
      </c>
      <c r="C135" t="inlineStr">
        <is>
          <t>2026-06</t>
        </is>
      </c>
      <c r="D135" t="n">
        <v>215</v>
      </c>
      <c r="E135" s="4" t="n">
        <v>120</v>
      </c>
      <c r="F135">
        <f>D135*E135</f>
        <v/>
      </c>
    </row>
    <row r="136">
      <c r="A136" t="inlineStr">
        <is>
          <t>Fresh Milk</t>
        </is>
      </c>
      <c r="B136" t="inlineStr">
        <is>
          <t>Vanilla Latte</t>
        </is>
      </c>
      <c r="C136" t="inlineStr">
        <is>
          <t>2026-07</t>
        </is>
      </c>
      <c r="D136" t="n">
        <v>210</v>
      </c>
      <c r="E136" s="4" t="n">
        <v>120</v>
      </c>
      <c r="F136">
        <f>D136*E136</f>
        <v/>
      </c>
    </row>
    <row r="137">
      <c r="A137" t="inlineStr">
        <is>
          <t>Fresh Milk</t>
        </is>
      </c>
      <c r="B137" t="inlineStr">
        <is>
          <t>Dirty Latte</t>
        </is>
      </c>
      <c r="C137" t="inlineStr">
        <is>
          <t>2026-04</t>
        </is>
      </c>
      <c r="D137" t="n">
        <v>313</v>
      </c>
      <c r="E137" s="4" t="n">
        <v>120</v>
      </c>
      <c r="F137">
        <f>D137*E137</f>
        <v/>
      </c>
    </row>
    <row r="138">
      <c r="A138" t="inlineStr">
        <is>
          <t>Fresh Milk</t>
        </is>
      </c>
      <c r="B138" t="inlineStr">
        <is>
          <t>Dirty Latte</t>
        </is>
      </c>
      <c r="C138" t="inlineStr">
        <is>
          <t>2026-05</t>
        </is>
      </c>
      <c r="D138" t="n">
        <v>316</v>
      </c>
      <c r="E138" s="4" t="n">
        <v>120</v>
      </c>
      <c r="F138">
        <f>D138*E138</f>
        <v/>
      </c>
    </row>
    <row r="139">
      <c r="A139" t="inlineStr">
        <is>
          <t>Fresh Milk</t>
        </is>
      </c>
      <c r="B139" t="inlineStr">
        <is>
          <t>Dirty Latte</t>
        </is>
      </c>
      <c r="C139" t="inlineStr">
        <is>
          <t>2026-06</t>
        </is>
      </c>
      <c r="D139" t="n">
        <v>392</v>
      </c>
      <c r="E139" s="4" t="n">
        <v>120</v>
      </c>
      <c r="F139">
        <f>D139*E139</f>
        <v/>
      </c>
    </row>
    <row r="140">
      <c r="A140" t="inlineStr">
        <is>
          <t>Fresh Milk</t>
        </is>
      </c>
      <c r="B140" t="inlineStr">
        <is>
          <t>Dirty Latte</t>
        </is>
      </c>
      <c r="C140" t="inlineStr">
        <is>
          <t>2026-07</t>
        </is>
      </c>
      <c r="D140" t="n">
        <v>331</v>
      </c>
      <c r="E140" s="4" t="n">
        <v>120</v>
      </c>
      <c r="F140">
        <f>D140*E140</f>
        <v/>
      </c>
    </row>
    <row r="141">
      <c r="A141" t="inlineStr">
        <is>
          <t>Fresh Milk</t>
        </is>
      </c>
      <c r="B141" t="inlineStr">
        <is>
          <t>Caramel Latte</t>
        </is>
      </c>
      <c r="C141" t="inlineStr">
        <is>
          <t>2026-04</t>
        </is>
      </c>
      <c r="D141" t="n">
        <v>308</v>
      </c>
      <c r="E141" s="4" t="n">
        <v>120</v>
      </c>
      <c r="F141">
        <f>D141*E141</f>
        <v/>
      </c>
    </row>
    <row r="142">
      <c r="A142" t="inlineStr">
        <is>
          <t>Fresh Milk</t>
        </is>
      </c>
      <c r="B142" t="inlineStr">
        <is>
          <t>Caramel Latte</t>
        </is>
      </c>
      <c r="C142" t="inlineStr">
        <is>
          <t>2026-05</t>
        </is>
      </c>
      <c r="D142" t="n">
        <v>277</v>
      </c>
      <c r="E142" s="4" t="n">
        <v>120</v>
      </c>
      <c r="F142">
        <f>D142*E142</f>
        <v/>
      </c>
    </row>
    <row r="143">
      <c r="A143" t="inlineStr">
        <is>
          <t>Fresh Milk</t>
        </is>
      </c>
      <c r="B143" t="inlineStr">
        <is>
          <t>Caramel Latte</t>
        </is>
      </c>
      <c r="C143" t="inlineStr">
        <is>
          <t>2026-06</t>
        </is>
      </c>
      <c r="D143" t="n">
        <v>294</v>
      </c>
      <c r="E143" s="4" t="n">
        <v>120</v>
      </c>
      <c r="F143">
        <f>D143*E143</f>
        <v/>
      </c>
    </row>
    <row r="144">
      <c r="A144" t="inlineStr">
        <is>
          <t>Fresh Milk</t>
        </is>
      </c>
      <c r="B144" t="inlineStr">
        <is>
          <t>Caramel Latte</t>
        </is>
      </c>
      <c r="C144" t="inlineStr">
        <is>
          <t>2026-07</t>
        </is>
      </c>
      <c r="D144" t="n">
        <v>220</v>
      </c>
      <c r="E144" s="4" t="n">
        <v>120</v>
      </c>
      <c r="F144">
        <f>D144*E144</f>
        <v/>
      </c>
    </row>
    <row r="145">
      <c r="A145" t="inlineStr">
        <is>
          <t>Fresh Milk</t>
        </is>
      </c>
      <c r="B145" t="inlineStr">
        <is>
          <t>Mocha</t>
        </is>
      </c>
      <c r="C145" t="inlineStr">
        <is>
          <t>2026-04</t>
        </is>
      </c>
      <c r="D145" t="n">
        <v>286</v>
      </c>
      <c r="E145" s="4" t="n">
        <v>120</v>
      </c>
      <c r="F145">
        <f>D145*E145</f>
        <v/>
      </c>
    </row>
    <row r="146">
      <c r="A146" t="inlineStr">
        <is>
          <t>Fresh Milk</t>
        </is>
      </c>
      <c r="B146" t="inlineStr">
        <is>
          <t>Mocha</t>
        </is>
      </c>
      <c r="C146" t="inlineStr">
        <is>
          <t>2026-05</t>
        </is>
      </c>
      <c r="D146" t="n">
        <v>275</v>
      </c>
      <c r="E146" s="4" t="n">
        <v>120</v>
      </c>
      <c r="F146">
        <f>D146*E146</f>
        <v/>
      </c>
    </row>
    <row r="147">
      <c r="A147" t="inlineStr">
        <is>
          <t>Fresh Milk</t>
        </is>
      </c>
      <c r="B147" t="inlineStr">
        <is>
          <t>Mocha</t>
        </is>
      </c>
      <c r="C147" t="inlineStr">
        <is>
          <t>2026-06</t>
        </is>
      </c>
      <c r="D147" t="n">
        <v>257</v>
      </c>
      <c r="E147" s="4" t="n">
        <v>120</v>
      </c>
      <c r="F147">
        <f>D147*E147</f>
        <v/>
      </c>
    </row>
    <row r="148">
      <c r="A148" t="inlineStr">
        <is>
          <t>Fresh Milk</t>
        </is>
      </c>
      <c r="B148" t="inlineStr">
        <is>
          <t>Mocha</t>
        </is>
      </c>
      <c r="C148" t="inlineStr">
        <is>
          <t>2026-07</t>
        </is>
      </c>
      <c r="D148" t="n">
        <v>242</v>
      </c>
      <c r="E148" s="4" t="n">
        <v>120</v>
      </c>
      <c r="F148">
        <f>D148*E148</f>
        <v/>
      </c>
    </row>
    <row r="149">
      <c r="A149" t="inlineStr">
        <is>
          <t>Fresh Milk</t>
        </is>
      </c>
      <c r="B149" t="inlineStr">
        <is>
          <t>Doppio Freddo</t>
        </is>
      </c>
      <c r="C149" t="inlineStr">
        <is>
          <t>2026-04</t>
        </is>
      </c>
      <c r="D149" t="n">
        <v>274</v>
      </c>
      <c r="E149" s="4" t="n">
        <v>50</v>
      </c>
      <c r="F149">
        <f>D149*E149</f>
        <v/>
      </c>
    </row>
    <row r="150">
      <c r="A150" t="inlineStr">
        <is>
          <t>Fresh Milk</t>
        </is>
      </c>
      <c r="B150" t="inlineStr">
        <is>
          <t>Doppio Freddo</t>
        </is>
      </c>
      <c r="C150" t="inlineStr">
        <is>
          <t>2026-05</t>
        </is>
      </c>
      <c r="D150" t="n">
        <v>260</v>
      </c>
      <c r="E150" s="4" t="n">
        <v>50</v>
      </c>
      <c r="F150">
        <f>D150*E150</f>
        <v/>
      </c>
    </row>
    <row r="151">
      <c r="A151" t="inlineStr">
        <is>
          <t>Fresh Milk</t>
        </is>
      </c>
      <c r="B151" t="inlineStr">
        <is>
          <t>Doppio Freddo</t>
        </is>
      </c>
      <c r="C151" t="inlineStr">
        <is>
          <t>2026-06</t>
        </is>
      </c>
      <c r="D151" t="n">
        <v>262</v>
      </c>
      <c r="E151" s="4" t="n">
        <v>50</v>
      </c>
      <c r="F151">
        <f>D151*E151</f>
        <v/>
      </c>
    </row>
    <row r="152">
      <c r="A152" t="inlineStr">
        <is>
          <t>Fresh Milk</t>
        </is>
      </c>
      <c r="B152" t="inlineStr">
        <is>
          <t>Doppio Freddo</t>
        </is>
      </c>
      <c r="C152" t="inlineStr">
        <is>
          <t>2026-07</t>
        </is>
      </c>
      <c r="D152" t="n">
        <v>173</v>
      </c>
      <c r="E152" s="4" t="n">
        <v>50</v>
      </c>
      <c r="F152">
        <f>D152*E152</f>
        <v/>
      </c>
    </row>
    <row r="153">
      <c r="A153" t="inlineStr">
        <is>
          <t>Fresh Milk</t>
        </is>
      </c>
      <c r="B153" t="inlineStr">
        <is>
          <t>Cloudy Matcha</t>
        </is>
      </c>
      <c r="C153" t="inlineStr">
        <is>
          <t>2026-04</t>
        </is>
      </c>
      <c r="D153" t="n">
        <v>179</v>
      </c>
      <c r="E153" s="4" t="n">
        <v>30</v>
      </c>
      <c r="F153">
        <f>D153*E153</f>
        <v/>
      </c>
    </row>
    <row r="154">
      <c r="A154" t="inlineStr">
        <is>
          <t>Fresh Milk</t>
        </is>
      </c>
      <c r="B154" t="inlineStr">
        <is>
          <t>Cloudy Matcha</t>
        </is>
      </c>
      <c r="C154" t="inlineStr">
        <is>
          <t>2026-05</t>
        </is>
      </c>
      <c r="D154" t="n">
        <v>215</v>
      </c>
      <c r="E154" s="4" t="n">
        <v>30</v>
      </c>
      <c r="F154">
        <f>D154*E154</f>
        <v/>
      </c>
    </row>
    <row r="155">
      <c r="A155" t="inlineStr">
        <is>
          <t>Fresh Milk</t>
        </is>
      </c>
      <c r="B155" t="inlineStr">
        <is>
          <t>Cloudy Matcha</t>
        </is>
      </c>
      <c r="C155" t="inlineStr">
        <is>
          <t>2026-06</t>
        </is>
      </c>
      <c r="D155" t="n">
        <v>215</v>
      </c>
      <c r="E155" s="4" t="n">
        <v>30</v>
      </c>
      <c r="F155">
        <f>D155*E155</f>
        <v/>
      </c>
    </row>
    <row r="156">
      <c r="A156" t="inlineStr">
        <is>
          <t>Fresh Milk</t>
        </is>
      </c>
      <c r="B156" t="inlineStr">
        <is>
          <t>Cloudy Matcha</t>
        </is>
      </c>
      <c r="C156" t="inlineStr">
        <is>
          <t>2026-07</t>
        </is>
      </c>
      <c r="D156" t="n">
        <v>171</v>
      </c>
      <c r="E156" s="4" t="n">
        <v>30</v>
      </c>
      <c r="F156">
        <f>D156*E156</f>
        <v/>
      </c>
    </row>
    <row r="157">
      <c r="A157" t="inlineStr">
        <is>
          <t>Fresh Milk</t>
        </is>
      </c>
      <c r="B157" t="inlineStr">
        <is>
          <t>Mint Chocolate</t>
        </is>
      </c>
      <c r="C157" t="inlineStr">
        <is>
          <t>2026-04</t>
        </is>
      </c>
      <c r="D157" t="n">
        <v>179</v>
      </c>
      <c r="E157" s="4" t="n">
        <v>120</v>
      </c>
      <c r="F157">
        <f>D157*E157</f>
        <v/>
      </c>
    </row>
    <row r="158">
      <c r="A158" t="inlineStr">
        <is>
          <t>Fresh Milk</t>
        </is>
      </c>
      <c r="B158" t="inlineStr">
        <is>
          <t>Mint Chocolate</t>
        </is>
      </c>
      <c r="C158" t="inlineStr">
        <is>
          <t>2026-05</t>
        </is>
      </c>
      <c r="D158" t="n">
        <v>158</v>
      </c>
      <c r="E158" s="4" t="n">
        <v>120</v>
      </c>
      <c r="F158">
        <f>D158*E158</f>
        <v/>
      </c>
    </row>
    <row r="159">
      <c r="A159" t="inlineStr">
        <is>
          <t>Fresh Milk</t>
        </is>
      </c>
      <c r="B159" t="inlineStr">
        <is>
          <t>Mint Chocolate</t>
        </is>
      </c>
      <c r="C159" t="inlineStr">
        <is>
          <t>2026-06</t>
        </is>
      </c>
      <c r="D159" t="n">
        <v>168</v>
      </c>
      <c r="E159" s="4" t="n">
        <v>120</v>
      </c>
      <c r="F159">
        <f>D159*E159</f>
        <v/>
      </c>
    </row>
    <row r="160">
      <c r="A160" t="inlineStr">
        <is>
          <t>Fresh Milk</t>
        </is>
      </c>
      <c r="B160" t="inlineStr">
        <is>
          <t>Mint Chocolate</t>
        </is>
      </c>
      <c r="C160" t="inlineStr">
        <is>
          <t>2026-07</t>
        </is>
      </c>
      <c r="D160" t="n">
        <v>167</v>
      </c>
      <c r="E160" s="4" t="n">
        <v>120</v>
      </c>
      <c r="F160">
        <f>D160*E160</f>
        <v/>
      </c>
    </row>
    <row r="161">
      <c r="A161" t="inlineStr">
        <is>
          <t>Fresh Milk</t>
        </is>
      </c>
      <c r="B161" t="inlineStr">
        <is>
          <t>Peanut Butter Mocha</t>
        </is>
      </c>
      <c r="C161" t="inlineStr">
        <is>
          <t>2026-04</t>
        </is>
      </c>
      <c r="D161" t="n">
        <v>179</v>
      </c>
      <c r="E161" s="4" t="n">
        <v>120</v>
      </c>
      <c r="F161">
        <f>D161*E161</f>
        <v/>
      </c>
    </row>
    <row r="162">
      <c r="A162" t="inlineStr">
        <is>
          <t>Fresh Milk</t>
        </is>
      </c>
      <c r="B162" t="inlineStr">
        <is>
          <t>Peanut Butter Mocha</t>
        </is>
      </c>
      <c r="C162" t="inlineStr">
        <is>
          <t>2026-05</t>
        </is>
      </c>
      <c r="D162" t="n">
        <v>208</v>
      </c>
      <c r="E162" s="4" t="n">
        <v>120</v>
      </c>
      <c r="F162">
        <f>D162*E162</f>
        <v/>
      </c>
    </row>
    <row r="163">
      <c r="A163" t="inlineStr">
        <is>
          <t>Fresh Milk</t>
        </is>
      </c>
      <c r="B163" t="inlineStr">
        <is>
          <t>Peanut Butter Mocha</t>
        </is>
      </c>
      <c r="C163" t="inlineStr">
        <is>
          <t>2026-06</t>
        </is>
      </c>
      <c r="D163" t="n">
        <v>159</v>
      </c>
      <c r="E163" s="4" t="n">
        <v>120</v>
      </c>
      <c r="F163">
        <f>D163*E163</f>
        <v/>
      </c>
    </row>
    <row r="164">
      <c r="A164" t="inlineStr">
        <is>
          <t>Fresh Milk</t>
        </is>
      </c>
      <c r="B164" t="inlineStr">
        <is>
          <t>Peanut Butter Mocha</t>
        </is>
      </c>
      <c r="C164" t="inlineStr">
        <is>
          <t>2026-07</t>
        </is>
      </c>
      <c r="D164" t="n">
        <v>146</v>
      </c>
      <c r="E164" s="4" t="n">
        <v>120</v>
      </c>
      <c r="F164">
        <f>D164*E164</f>
        <v/>
      </c>
    </row>
    <row r="165">
      <c r="A165" t="inlineStr">
        <is>
          <t>Fresh Milk</t>
        </is>
      </c>
      <c r="B165" t="inlineStr">
        <is>
          <t>Piccolo</t>
        </is>
      </c>
      <c r="C165" t="inlineStr">
        <is>
          <t>2026-04</t>
        </is>
      </c>
      <c r="D165" t="n">
        <v>177</v>
      </c>
      <c r="E165" s="4" t="n">
        <v>100</v>
      </c>
      <c r="F165">
        <f>D165*E165</f>
        <v/>
      </c>
    </row>
    <row r="166">
      <c r="A166" t="inlineStr">
        <is>
          <t>Fresh Milk</t>
        </is>
      </c>
      <c r="B166" t="inlineStr">
        <is>
          <t>Piccolo</t>
        </is>
      </c>
      <c r="C166" t="inlineStr">
        <is>
          <t>2026-05</t>
        </is>
      </c>
      <c r="D166" t="n">
        <v>170</v>
      </c>
      <c r="E166" s="4" t="n">
        <v>100</v>
      </c>
      <c r="F166">
        <f>D166*E166</f>
        <v/>
      </c>
    </row>
    <row r="167">
      <c r="A167" t="inlineStr">
        <is>
          <t>Fresh Milk</t>
        </is>
      </c>
      <c r="B167" t="inlineStr">
        <is>
          <t>Piccolo</t>
        </is>
      </c>
      <c r="C167" t="inlineStr">
        <is>
          <t>2026-06</t>
        </is>
      </c>
      <c r="D167" t="n">
        <v>182</v>
      </c>
      <c r="E167" s="4" t="n">
        <v>100</v>
      </c>
      <c r="F167">
        <f>D167*E167</f>
        <v/>
      </c>
    </row>
    <row r="168">
      <c r="A168" t="inlineStr">
        <is>
          <t>Fresh Milk</t>
        </is>
      </c>
      <c r="B168" t="inlineStr">
        <is>
          <t>Piccolo</t>
        </is>
      </c>
      <c r="C168" t="inlineStr">
        <is>
          <t>2026-07</t>
        </is>
      </c>
      <c r="D168" t="n">
        <v>136</v>
      </c>
      <c r="E168" s="4" t="n">
        <v>100</v>
      </c>
      <c r="F168">
        <f>D168*E168</f>
        <v/>
      </c>
    </row>
    <row r="169">
      <c r="A169" t="inlineStr">
        <is>
          <t>Fresh Milk</t>
        </is>
      </c>
      <c r="B169" t="inlineStr">
        <is>
          <t>Chocolate Freddo</t>
        </is>
      </c>
      <c r="C169" t="inlineStr">
        <is>
          <t>2026-04</t>
        </is>
      </c>
      <c r="D169" t="n">
        <v>151</v>
      </c>
      <c r="E169" s="4" t="n">
        <v>40</v>
      </c>
      <c r="F169">
        <f>D169*E169</f>
        <v/>
      </c>
    </row>
    <row r="170">
      <c r="A170" t="inlineStr">
        <is>
          <t>Fresh Milk</t>
        </is>
      </c>
      <c r="B170" t="inlineStr">
        <is>
          <t>Chocolate Freddo</t>
        </is>
      </c>
      <c r="C170" t="inlineStr">
        <is>
          <t>2026-05</t>
        </is>
      </c>
      <c r="D170" t="n">
        <v>164</v>
      </c>
      <c r="E170" s="4" t="n">
        <v>40</v>
      </c>
      <c r="F170">
        <f>D170*E170</f>
        <v/>
      </c>
    </row>
    <row r="171">
      <c r="A171" t="inlineStr">
        <is>
          <t>Fresh Milk</t>
        </is>
      </c>
      <c r="B171" t="inlineStr">
        <is>
          <t>Chocolate Freddo</t>
        </is>
      </c>
      <c r="C171" t="inlineStr">
        <is>
          <t>2026-06</t>
        </is>
      </c>
      <c r="D171" t="n">
        <v>128</v>
      </c>
      <c r="E171" s="4" t="n">
        <v>40</v>
      </c>
      <c r="F171">
        <f>D171*E171</f>
        <v/>
      </c>
    </row>
    <row r="172">
      <c r="A172" t="inlineStr">
        <is>
          <t>Fresh Milk</t>
        </is>
      </c>
      <c r="B172" t="inlineStr">
        <is>
          <t>Chocolate Freddo</t>
        </is>
      </c>
      <c r="C172" t="inlineStr">
        <is>
          <t>2026-07</t>
        </is>
      </c>
      <c r="D172" t="n">
        <v>141</v>
      </c>
      <c r="E172" s="4" t="n">
        <v>40</v>
      </c>
      <c r="F172">
        <f>D172*E172</f>
        <v/>
      </c>
    </row>
    <row r="173">
      <c r="A173" t="inlineStr">
        <is>
          <t>Fresh Milk</t>
        </is>
      </c>
      <c r="B173" t="inlineStr">
        <is>
          <t>White Mocha</t>
        </is>
      </c>
      <c r="C173" t="inlineStr">
        <is>
          <t>2026-04</t>
        </is>
      </c>
      <c r="D173" t="n">
        <v>147</v>
      </c>
      <c r="E173" s="4" t="n">
        <v>120</v>
      </c>
      <c r="F173">
        <f>D173*E173</f>
        <v/>
      </c>
    </row>
    <row r="174">
      <c r="A174" t="inlineStr">
        <is>
          <t>Fresh Milk</t>
        </is>
      </c>
      <c r="B174" t="inlineStr">
        <is>
          <t>White Mocha</t>
        </is>
      </c>
      <c r="C174" t="inlineStr">
        <is>
          <t>2026-05</t>
        </is>
      </c>
      <c r="D174" t="n">
        <v>118</v>
      </c>
      <c r="E174" s="4" t="n">
        <v>120</v>
      </c>
      <c r="F174">
        <f>D174*E174</f>
        <v/>
      </c>
    </row>
    <row r="175">
      <c r="A175" t="inlineStr">
        <is>
          <t>Fresh Milk</t>
        </is>
      </c>
      <c r="B175" t="inlineStr">
        <is>
          <t>White Mocha</t>
        </is>
      </c>
      <c r="C175" t="inlineStr">
        <is>
          <t>2026-06</t>
        </is>
      </c>
      <c r="D175" t="n">
        <v>106</v>
      </c>
      <c r="E175" s="4" t="n">
        <v>120</v>
      </c>
      <c r="F175">
        <f>D175*E175</f>
        <v/>
      </c>
    </row>
    <row r="176">
      <c r="A176" t="inlineStr">
        <is>
          <t>Fresh Milk</t>
        </is>
      </c>
      <c r="B176" t="inlineStr">
        <is>
          <t>White Mocha</t>
        </is>
      </c>
      <c r="C176" t="inlineStr">
        <is>
          <t>2026-07</t>
        </is>
      </c>
      <c r="D176" t="n">
        <v>87</v>
      </c>
      <c r="E176" s="4" t="n">
        <v>120</v>
      </c>
      <c r="F176">
        <f>D176*E176</f>
        <v/>
      </c>
    </row>
    <row r="177">
      <c r="A177" t="inlineStr">
        <is>
          <t>Fresh Milk</t>
        </is>
      </c>
      <c r="B177" t="inlineStr">
        <is>
          <t>Mint Matcha</t>
        </is>
      </c>
      <c r="C177" t="inlineStr">
        <is>
          <t>2026-04</t>
        </is>
      </c>
      <c r="D177" t="n">
        <v>89</v>
      </c>
      <c r="E177" s="4" t="n">
        <v>120</v>
      </c>
      <c r="F177">
        <f>D177*E177</f>
        <v/>
      </c>
    </row>
    <row r="178">
      <c r="A178" t="inlineStr">
        <is>
          <t>Fresh Milk</t>
        </is>
      </c>
      <c r="B178" t="inlineStr">
        <is>
          <t>Mint Matcha</t>
        </is>
      </c>
      <c r="C178" t="inlineStr">
        <is>
          <t>2026-05</t>
        </is>
      </c>
      <c r="D178" t="n">
        <v>74</v>
      </c>
      <c r="E178" s="4" t="n">
        <v>120</v>
      </c>
      <c r="F178">
        <f>D178*E178</f>
        <v/>
      </c>
    </row>
    <row r="179">
      <c r="A179" t="inlineStr">
        <is>
          <t>Fresh Milk</t>
        </is>
      </c>
      <c r="B179" t="inlineStr">
        <is>
          <t>Mint Matcha</t>
        </is>
      </c>
      <c r="C179" t="inlineStr">
        <is>
          <t>2026-06</t>
        </is>
      </c>
      <c r="D179" t="n">
        <v>57</v>
      </c>
      <c r="E179" s="4" t="n">
        <v>120</v>
      </c>
      <c r="F179">
        <f>D179*E179</f>
        <v/>
      </c>
    </row>
    <row r="180">
      <c r="A180" t="inlineStr">
        <is>
          <t>Fresh Milk</t>
        </is>
      </c>
      <c r="B180" t="inlineStr">
        <is>
          <t>Mint Matcha</t>
        </is>
      </c>
      <c r="C180" t="inlineStr">
        <is>
          <t>2026-07</t>
        </is>
      </c>
      <c r="D180" t="n">
        <v>65</v>
      </c>
      <c r="E180" s="4" t="n">
        <v>120</v>
      </c>
      <c r="F180">
        <f>D180*E180</f>
        <v/>
      </c>
    </row>
    <row r="181">
      <c r="A181" t="inlineStr">
        <is>
          <t>Fresh Milk</t>
        </is>
      </c>
      <c r="B181" t="inlineStr">
        <is>
          <t>Matcha Affogato</t>
        </is>
      </c>
      <c r="C181" t="inlineStr">
        <is>
          <t>2026-04</t>
        </is>
      </c>
      <c r="D181" t="n">
        <v>5</v>
      </c>
      <c r="E181" s="4" t="n">
        <v>25</v>
      </c>
      <c r="F181">
        <f>D181*E181</f>
        <v/>
      </c>
    </row>
    <row r="182">
      <c r="A182" t="inlineStr">
        <is>
          <t>Fresh Milk</t>
        </is>
      </c>
      <c r="B182" t="inlineStr">
        <is>
          <t>Matcha Affogato</t>
        </is>
      </c>
      <c r="C182" t="inlineStr">
        <is>
          <t>2026-05</t>
        </is>
      </c>
      <c r="D182" t="n">
        <v>10</v>
      </c>
      <c r="E182" s="4" t="n">
        <v>25</v>
      </c>
      <c r="F182">
        <f>D182*E182</f>
        <v/>
      </c>
    </row>
    <row r="183">
      <c r="A183" t="inlineStr">
        <is>
          <t>Fresh Milk</t>
        </is>
      </c>
      <c r="B183" t="inlineStr">
        <is>
          <t>Matcha Affogato</t>
        </is>
      </c>
      <c r="C183" t="inlineStr">
        <is>
          <t>2026-06</t>
        </is>
      </c>
      <c r="D183" t="n">
        <v>14</v>
      </c>
      <c r="E183" s="4" t="n">
        <v>25</v>
      </c>
      <c r="F183">
        <f>D183*E183</f>
        <v/>
      </c>
    </row>
    <row r="184">
      <c r="A184" t="inlineStr">
        <is>
          <t>Fresh Milk</t>
        </is>
      </c>
      <c r="B184" t="inlineStr">
        <is>
          <t>Matcha Affogato</t>
        </is>
      </c>
      <c r="C184" t="inlineStr">
        <is>
          <t>2026-07</t>
        </is>
      </c>
      <c r="D184" t="n">
        <v>18</v>
      </c>
      <c r="E184" s="4" t="n">
        <v>25</v>
      </c>
      <c r="F184">
        <f>D184*E184</f>
        <v/>
      </c>
    </row>
    <row r="185">
      <c r="A185" t="inlineStr">
        <is>
          <t>Fresh Milk</t>
        </is>
      </c>
      <c r="B185" t="inlineStr">
        <is>
          <t>Caramel Latte (Bottle)</t>
        </is>
      </c>
      <c r="C185" t="inlineStr">
        <is>
          <t>2026-06</t>
        </is>
      </c>
      <c r="D185" t="n">
        <v>30</v>
      </c>
      <c r="E185" s="4" t="n">
        <v>130</v>
      </c>
      <c r="F185">
        <f>D185*E185</f>
        <v/>
      </c>
    </row>
    <row r="186">
      <c r="A186" t="inlineStr">
        <is>
          <t>Fresh Milk</t>
        </is>
      </c>
      <c r="B186" t="inlineStr">
        <is>
          <t>Classic Latte (Bottle)</t>
        </is>
      </c>
      <c r="C186" t="inlineStr">
        <is>
          <t>2026-05</t>
        </is>
      </c>
      <c r="D186" t="n">
        <v>6</v>
      </c>
      <c r="E186" s="4" t="n">
        <v>130</v>
      </c>
      <c r="F186">
        <f>D186*E186</f>
        <v/>
      </c>
    </row>
    <row r="187">
      <c r="A187" t="inlineStr">
        <is>
          <t>Fresh Milk</t>
        </is>
      </c>
      <c r="B187" t="inlineStr">
        <is>
          <t>Classic Latte (Bottle)</t>
        </is>
      </c>
      <c r="C187" t="inlineStr">
        <is>
          <t>2026-06</t>
        </is>
      </c>
      <c r="D187" t="n">
        <v>1</v>
      </c>
      <c r="E187" s="4" t="n">
        <v>130</v>
      </c>
      <c r="F187">
        <f>D187*E187</f>
        <v/>
      </c>
    </row>
    <row r="188">
      <c r="A188" t="inlineStr">
        <is>
          <t>Fresh Milk</t>
        </is>
      </c>
      <c r="B188" t="inlineStr">
        <is>
          <t>Chocolate (Bottle)</t>
        </is>
      </c>
      <c r="C188" t="inlineStr">
        <is>
          <t>2026-04</t>
        </is>
      </c>
      <c r="D188" t="n">
        <v>1</v>
      </c>
      <c r="E188" s="4" t="n">
        <v>130</v>
      </c>
      <c r="F188">
        <f>D188*E188</f>
        <v/>
      </c>
    </row>
    <row r="189">
      <c r="A189" t="inlineStr">
        <is>
          <t>Fresh Milk</t>
        </is>
      </c>
      <c r="B189" t="inlineStr">
        <is>
          <t>Chocolate (Bottle)</t>
        </is>
      </c>
      <c r="C189" t="inlineStr">
        <is>
          <t>2026-05</t>
        </is>
      </c>
      <c r="D189" t="n">
        <v>1</v>
      </c>
      <c r="E189" s="4" t="n">
        <v>130</v>
      </c>
      <c r="F189">
        <f>D189*E189</f>
        <v/>
      </c>
    </row>
    <row r="190">
      <c r="A190" t="inlineStr">
        <is>
          <t>Fresh Milk</t>
        </is>
      </c>
      <c r="B190" t="inlineStr">
        <is>
          <t>Mocha (Bottle)</t>
        </is>
      </c>
      <c r="C190" t="inlineStr">
        <is>
          <t>2026-04</t>
        </is>
      </c>
      <c r="D190" t="n">
        <v>1</v>
      </c>
      <c r="E190" s="4" t="n">
        <v>130</v>
      </c>
      <c r="F190">
        <f>D190*E190</f>
        <v/>
      </c>
    </row>
    <row r="191">
      <c r="A191" t="inlineStr">
        <is>
          <t>Brioche Sandwich</t>
        </is>
      </c>
      <c r="B191" t="inlineStr">
        <is>
          <t>Streaky Beef Pesto</t>
        </is>
      </c>
      <c r="C191" t="inlineStr">
        <is>
          <t>2026-04</t>
        </is>
      </c>
      <c r="D191" t="n">
        <v>241</v>
      </c>
      <c r="E191" s="4" t="n">
        <v>2</v>
      </c>
      <c r="F191">
        <f>D191*E191</f>
        <v/>
      </c>
    </row>
    <row r="192">
      <c r="A192" t="inlineStr">
        <is>
          <t>Brioche Sandwich</t>
        </is>
      </c>
      <c r="B192" t="inlineStr">
        <is>
          <t>Streaky Beef Pesto</t>
        </is>
      </c>
      <c r="C192" t="inlineStr">
        <is>
          <t>2026-05</t>
        </is>
      </c>
      <c r="D192" t="n">
        <v>303</v>
      </c>
      <c r="E192" s="4" t="n">
        <v>2</v>
      </c>
      <c r="F192">
        <f>D192*E192</f>
        <v/>
      </c>
    </row>
    <row r="193">
      <c r="A193" t="inlineStr">
        <is>
          <t>Brioche Sandwich</t>
        </is>
      </c>
      <c r="B193" t="inlineStr">
        <is>
          <t>Streaky Beef Pesto</t>
        </is>
      </c>
      <c r="C193" t="inlineStr">
        <is>
          <t>2026-06</t>
        </is>
      </c>
      <c r="D193" t="n">
        <v>271</v>
      </c>
      <c r="E193" s="4" t="n">
        <v>2</v>
      </c>
      <c r="F193">
        <f>D193*E193</f>
        <v/>
      </c>
    </row>
    <row r="194">
      <c r="A194" t="inlineStr">
        <is>
          <t>Brioche Sandwich</t>
        </is>
      </c>
      <c r="B194" t="inlineStr">
        <is>
          <t>Streaky Beef Pesto</t>
        </is>
      </c>
      <c r="C194" t="inlineStr">
        <is>
          <t>2026-07</t>
        </is>
      </c>
      <c r="D194" t="n">
        <v>256</v>
      </c>
      <c r="E194" s="4" t="n">
        <v>2</v>
      </c>
      <c r="F194">
        <f>D194*E194</f>
        <v/>
      </c>
    </row>
    <row r="195">
      <c r="A195" t="inlineStr">
        <is>
          <t>Brioche Sandwich</t>
        </is>
      </c>
      <c r="B195" t="inlineStr">
        <is>
          <t>Egg Sando</t>
        </is>
      </c>
      <c r="C195" t="inlineStr">
        <is>
          <t>2026-04</t>
        </is>
      </c>
      <c r="D195" t="n">
        <v>138</v>
      </c>
      <c r="E195" s="4" t="n">
        <v>2</v>
      </c>
      <c r="F195">
        <f>D195*E195</f>
        <v/>
      </c>
    </row>
    <row r="196">
      <c r="A196" t="inlineStr">
        <is>
          <t>Brioche Sandwich</t>
        </is>
      </c>
      <c r="B196" t="inlineStr">
        <is>
          <t>Egg Sando</t>
        </is>
      </c>
      <c r="C196" t="inlineStr">
        <is>
          <t>2026-05</t>
        </is>
      </c>
      <c r="D196" t="n">
        <v>200</v>
      </c>
      <c r="E196" s="4" t="n">
        <v>2</v>
      </c>
      <c r="F196">
        <f>D196*E196</f>
        <v/>
      </c>
    </row>
    <row r="197">
      <c r="A197" t="inlineStr">
        <is>
          <t>Brioche Sandwich</t>
        </is>
      </c>
      <c r="B197" t="inlineStr">
        <is>
          <t>Egg Sando</t>
        </is>
      </c>
      <c r="C197" t="inlineStr">
        <is>
          <t>2026-06</t>
        </is>
      </c>
      <c r="D197" t="n">
        <v>262</v>
      </c>
      <c r="E197" s="4" t="n">
        <v>2</v>
      </c>
      <c r="F197">
        <f>D197*E197</f>
        <v/>
      </c>
    </row>
    <row r="198">
      <c r="A198" t="inlineStr">
        <is>
          <t>Brioche Sandwich</t>
        </is>
      </c>
      <c r="B198" t="inlineStr">
        <is>
          <t>Egg Sando</t>
        </is>
      </c>
      <c r="C198" t="inlineStr">
        <is>
          <t>2026-07</t>
        </is>
      </c>
      <c r="D198" t="n">
        <v>227</v>
      </c>
      <c r="E198" s="4" t="n">
        <v>2</v>
      </c>
      <c r="F198">
        <f>D198*E198</f>
        <v/>
      </c>
    </row>
    <row r="199">
      <c r="A199" t="inlineStr">
        <is>
          <t>Brioche Sandwich</t>
        </is>
      </c>
      <c r="B199" t="inlineStr">
        <is>
          <t>Korean Crispy Chicken</t>
        </is>
      </c>
      <c r="C199" t="inlineStr">
        <is>
          <t>2026-04</t>
        </is>
      </c>
      <c r="D199" t="n">
        <v>148</v>
      </c>
      <c r="E199" s="4" t="n">
        <v>2</v>
      </c>
      <c r="F199">
        <f>D199*E199</f>
        <v/>
      </c>
    </row>
    <row r="200">
      <c r="A200" t="inlineStr">
        <is>
          <t>Brioche Sandwich</t>
        </is>
      </c>
      <c r="B200" t="inlineStr">
        <is>
          <t>Korean Crispy Chicken</t>
        </is>
      </c>
      <c r="C200" t="inlineStr">
        <is>
          <t>2026-05</t>
        </is>
      </c>
      <c r="D200" t="n">
        <v>136</v>
      </c>
      <c r="E200" s="4" t="n">
        <v>2</v>
      </c>
      <c r="F200">
        <f>D200*E200</f>
        <v/>
      </c>
    </row>
    <row r="201">
      <c r="A201" t="inlineStr">
        <is>
          <t>Brioche Sandwich</t>
        </is>
      </c>
      <c r="B201" t="inlineStr">
        <is>
          <t>Korean Crispy Chicken</t>
        </is>
      </c>
      <c r="C201" t="inlineStr">
        <is>
          <t>2026-06</t>
        </is>
      </c>
      <c r="D201" t="n">
        <v>187</v>
      </c>
      <c r="E201" s="4" t="n">
        <v>2</v>
      </c>
      <c r="F201">
        <f>D201*E201</f>
        <v/>
      </c>
    </row>
    <row r="202">
      <c r="A202" t="inlineStr">
        <is>
          <t>Brioche Sandwich</t>
        </is>
      </c>
      <c r="B202" t="inlineStr">
        <is>
          <t>Korean Crispy Chicken</t>
        </is>
      </c>
      <c r="C202" t="inlineStr">
        <is>
          <t>2026-07</t>
        </is>
      </c>
      <c r="D202" t="n">
        <v>134</v>
      </c>
      <c r="E202" s="4" t="n">
        <v>2</v>
      </c>
      <c r="F202">
        <f>D202*E202</f>
        <v/>
      </c>
    </row>
    <row r="203">
      <c r="A203" t="inlineStr">
        <is>
          <t>Brioche Sandwich</t>
        </is>
      </c>
      <c r="B203" t="inlineStr">
        <is>
          <t>Smoked Pulled Lamb</t>
        </is>
      </c>
      <c r="C203" t="inlineStr">
        <is>
          <t>2026-04</t>
        </is>
      </c>
      <c r="D203" t="n">
        <v>87</v>
      </c>
      <c r="E203" s="4" t="n">
        <v>2</v>
      </c>
      <c r="F203">
        <f>D203*E203</f>
        <v/>
      </c>
    </row>
    <row r="204">
      <c r="A204" t="inlineStr">
        <is>
          <t>Brioche Sandwich</t>
        </is>
      </c>
      <c r="B204" t="inlineStr">
        <is>
          <t>Smoked Pulled Lamb</t>
        </is>
      </c>
      <c r="C204" t="inlineStr">
        <is>
          <t>2026-05</t>
        </is>
      </c>
      <c r="D204" t="n">
        <v>118</v>
      </c>
      <c r="E204" s="4" t="n">
        <v>2</v>
      </c>
      <c r="F204">
        <f>D204*E204</f>
        <v/>
      </c>
    </row>
    <row r="205">
      <c r="A205" t="inlineStr">
        <is>
          <t>Brioche Sandwich</t>
        </is>
      </c>
      <c r="B205" t="inlineStr">
        <is>
          <t>Smoked Pulled Lamb</t>
        </is>
      </c>
      <c r="C205" t="inlineStr">
        <is>
          <t>2026-06</t>
        </is>
      </c>
      <c r="D205" t="n">
        <v>87</v>
      </c>
      <c r="E205" s="4" t="n">
        <v>2</v>
      </c>
      <c r="F205">
        <f>D205*E205</f>
        <v/>
      </c>
    </row>
    <row r="206">
      <c r="A206" t="inlineStr">
        <is>
          <t>Brioche Sandwich</t>
        </is>
      </c>
      <c r="B206" t="inlineStr">
        <is>
          <t>Smoked Pulled Lamb</t>
        </is>
      </c>
      <c r="C206" t="inlineStr">
        <is>
          <t>2026-07</t>
        </is>
      </c>
      <c r="D206" t="n">
        <v>92</v>
      </c>
      <c r="E206" s="4" t="n">
        <v>2</v>
      </c>
      <c r="F206">
        <f>D206*E206</f>
        <v/>
      </c>
    </row>
    <row r="207">
      <c r="A207" t="inlineStr">
        <is>
          <t>Brioche Sandwich</t>
        </is>
      </c>
      <c r="B207" t="inlineStr">
        <is>
          <t>Ebi Sando</t>
        </is>
      </c>
      <c r="C207" t="inlineStr">
        <is>
          <t>2026-04</t>
        </is>
      </c>
      <c r="D207" t="n">
        <v>45</v>
      </c>
      <c r="E207" s="4" t="n">
        <v>2</v>
      </c>
      <c r="F207">
        <f>D207*E207</f>
        <v/>
      </c>
    </row>
    <row r="208">
      <c r="A208" t="inlineStr">
        <is>
          <t>Brioche Sandwich</t>
        </is>
      </c>
      <c r="B208" t="inlineStr">
        <is>
          <t>Ebi Sando</t>
        </is>
      </c>
      <c r="C208" t="inlineStr">
        <is>
          <t>2026-05</t>
        </is>
      </c>
      <c r="D208" t="n">
        <v>53</v>
      </c>
      <c r="E208" s="4" t="n">
        <v>2</v>
      </c>
      <c r="F208">
        <f>D208*E208</f>
        <v/>
      </c>
    </row>
    <row r="209">
      <c r="A209" t="inlineStr">
        <is>
          <t>Brioche Sandwich</t>
        </is>
      </c>
      <c r="B209" t="inlineStr">
        <is>
          <t>Ebi Sando</t>
        </is>
      </c>
      <c r="C209" t="inlineStr">
        <is>
          <t>2026-06</t>
        </is>
      </c>
      <c r="D209" t="n">
        <v>60</v>
      </c>
      <c r="E209" s="4" t="n">
        <v>2</v>
      </c>
      <c r="F209">
        <f>D209*E209</f>
        <v/>
      </c>
    </row>
    <row r="210">
      <c r="A210" t="inlineStr">
        <is>
          <t>Brioche Sandwich</t>
        </is>
      </c>
      <c r="B210" t="inlineStr">
        <is>
          <t>Ebi Sando</t>
        </is>
      </c>
      <c r="C210" t="inlineStr">
        <is>
          <t>2026-07</t>
        </is>
      </c>
      <c r="D210" t="n">
        <v>39</v>
      </c>
      <c r="E210" s="4" t="n">
        <v>2</v>
      </c>
      <c r="F210">
        <f>D210*E210</f>
        <v/>
      </c>
    </row>
    <row r="211">
      <c r="A211" t="inlineStr">
        <is>
          <t>Telur Omega</t>
        </is>
      </c>
      <c r="B211" t="inlineStr">
        <is>
          <t>Roti Bakar Brioche with Half Boiled Eggs</t>
        </is>
      </c>
      <c r="C211" t="inlineStr">
        <is>
          <t>2026-04</t>
        </is>
      </c>
      <c r="D211" t="n">
        <v>357</v>
      </c>
      <c r="E211" s="4" t="n">
        <v>2</v>
      </c>
      <c r="F211">
        <f>D211*E211</f>
        <v/>
      </c>
    </row>
    <row r="212">
      <c r="A212" t="inlineStr">
        <is>
          <t>Telur Omega</t>
        </is>
      </c>
      <c r="B212" t="inlineStr">
        <is>
          <t>Roti Bakar Brioche with Half Boiled Eggs</t>
        </is>
      </c>
      <c r="C212" t="inlineStr">
        <is>
          <t>2026-05</t>
        </is>
      </c>
      <c r="D212" t="n">
        <v>422</v>
      </c>
      <c r="E212" s="4" t="n">
        <v>2</v>
      </c>
      <c r="F212">
        <f>D212*E212</f>
        <v/>
      </c>
    </row>
    <row r="213">
      <c r="A213" t="inlineStr">
        <is>
          <t>Telur Omega</t>
        </is>
      </c>
      <c r="B213" t="inlineStr">
        <is>
          <t>Roti Bakar Brioche with Half Boiled Eggs</t>
        </is>
      </c>
      <c r="C213" t="inlineStr">
        <is>
          <t>2026-06</t>
        </is>
      </c>
      <c r="D213" t="n">
        <v>495</v>
      </c>
      <c r="E213" s="4" t="n">
        <v>2</v>
      </c>
      <c r="F213">
        <f>D213*E213</f>
        <v/>
      </c>
    </row>
    <row r="214">
      <c r="A214" t="inlineStr">
        <is>
          <t>Telur Omega</t>
        </is>
      </c>
      <c r="B214" t="inlineStr">
        <is>
          <t>Roti Bakar Brioche with Half Boiled Eggs</t>
        </is>
      </c>
      <c r="C214" t="inlineStr">
        <is>
          <t>2026-07</t>
        </is>
      </c>
      <c r="D214" t="n">
        <v>543</v>
      </c>
      <c r="E214" s="4" t="n">
        <v>2</v>
      </c>
      <c r="F214">
        <f>D214*E214</f>
        <v/>
      </c>
    </row>
    <row r="215">
      <c r="A215" t="inlineStr">
        <is>
          <t>Telur Omega</t>
        </is>
      </c>
      <c r="B215" t="inlineStr">
        <is>
          <t>Nasi Lemak 2 Sambal + Ayam Crispy</t>
        </is>
      </c>
      <c r="C215" t="inlineStr">
        <is>
          <t>2026-04</t>
        </is>
      </c>
      <c r="D215" t="n">
        <v>355</v>
      </c>
      <c r="E215" s="4" t="n">
        <v>1</v>
      </c>
      <c r="F215">
        <f>D215*E215</f>
        <v/>
      </c>
    </row>
    <row r="216">
      <c r="A216" t="inlineStr">
        <is>
          <t>Telur Omega</t>
        </is>
      </c>
      <c r="B216" t="inlineStr">
        <is>
          <t>Nasi Lemak 2 Sambal + Ayam Crispy</t>
        </is>
      </c>
      <c r="C216" t="inlineStr">
        <is>
          <t>2026-05</t>
        </is>
      </c>
      <c r="D216" t="n">
        <v>433</v>
      </c>
      <c r="E216" s="4" t="n">
        <v>1</v>
      </c>
      <c r="F216">
        <f>D216*E216</f>
        <v/>
      </c>
    </row>
    <row r="217">
      <c r="A217" t="inlineStr">
        <is>
          <t>Telur Omega</t>
        </is>
      </c>
      <c r="B217" t="inlineStr">
        <is>
          <t>Nasi Lemak 2 Sambal + Ayam Crispy</t>
        </is>
      </c>
      <c r="C217" t="inlineStr">
        <is>
          <t>2026-06</t>
        </is>
      </c>
      <c r="D217" t="n">
        <v>427</v>
      </c>
      <c r="E217" s="4" t="n">
        <v>1</v>
      </c>
      <c r="F217">
        <f>D217*E217</f>
        <v/>
      </c>
    </row>
    <row r="218">
      <c r="A218" t="inlineStr">
        <is>
          <t>Telur Omega</t>
        </is>
      </c>
      <c r="B218" t="inlineStr">
        <is>
          <t>Nasi Lemak 2 Sambal + Ayam Crispy</t>
        </is>
      </c>
      <c r="C218" t="inlineStr">
        <is>
          <t>2026-07</t>
        </is>
      </c>
      <c r="D218" t="n">
        <v>377</v>
      </c>
      <c r="E218" s="4" t="n">
        <v>1</v>
      </c>
      <c r="F218">
        <f>D218*E218</f>
        <v/>
      </c>
    </row>
    <row r="219">
      <c r="A219" t="inlineStr">
        <is>
          <t>Telur Omega</t>
        </is>
      </c>
      <c r="B219" t="inlineStr">
        <is>
          <t>Nasi Lemak 2 Sambal</t>
        </is>
      </c>
      <c r="C219" t="inlineStr">
        <is>
          <t>2026-04</t>
        </is>
      </c>
      <c r="D219" t="n">
        <v>216</v>
      </c>
      <c r="E219" s="4" t="n">
        <v>1</v>
      </c>
      <c r="F219">
        <f>D219*E219</f>
        <v/>
      </c>
    </row>
    <row r="220">
      <c r="A220" t="inlineStr">
        <is>
          <t>Telur Omega</t>
        </is>
      </c>
      <c r="B220" t="inlineStr">
        <is>
          <t>Nasi Lemak 2 Sambal</t>
        </is>
      </c>
      <c r="C220" t="inlineStr">
        <is>
          <t>2026-05</t>
        </is>
      </c>
      <c r="D220" t="n">
        <v>259</v>
      </c>
      <c r="E220" s="4" t="n">
        <v>1</v>
      </c>
      <c r="F220">
        <f>D220*E220</f>
        <v/>
      </c>
    </row>
    <row r="221">
      <c r="A221" t="inlineStr">
        <is>
          <t>Telur Omega</t>
        </is>
      </c>
      <c r="B221" t="inlineStr">
        <is>
          <t>Nasi Lemak 2 Sambal</t>
        </is>
      </c>
      <c r="C221" t="inlineStr">
        <is>
          <t>2026-06</t>
        </is>
      </c>
      <c r="D221" t="n">
        <v>288</v>
      </c>
      <c r="E221" s="4" t="n">
        <v>1</v>
      </c>
      <c r="F221">
        <f>D221*E221</f>
        <v/>
      </c>
    </row>
    <row r="222">
      <c r="A222" t="inlineStr">
        <is>
          <t>Telur Omega</t>
        </is>
      </c>
      <c r="B222" t="inlineStr">
        <is>
          <t>Nasi Lemak 2 Sambal</t>
        </is>
      </c>
      <c r="C222" t="inlineStr">
        <is>
          <t>2026-07</t>
        </is>
      </c>
      <c r="D222" t="n">
        <v>310</v>
      </c>
      <c r="E222" s="4" t="n">
        <v>1</v>
      </c>
      <c r="F222">
        <f>D222*E222</f>
        <v/>
      </c>
    </row>
    <row r="223">
      <c r="A223" t="inlineStr">
        <is>
          <t>Telur Omega</t>
        </is>
      </c>
      <c r="B223" t="inlineStr">
        <is>
          <t>Nasi Lemak 2 Sambal + Ayam Grilled</t>
        </is>
      </c>
      <c r="C223" t="inlineStr">
        <is>
          <t>2026-04</t>
        </is>
      </c>
      <c r="D223" t="n">
        <v>194</v>
      </c>
      <c r="E223" s="4" t="n">
        <v>1</v>
      </c>
      <c r="F223">
        <f>D223*E223</f>
        <v/>
      </c>
    </row>
    <row r="224">
      <c r="A224" t="inlineStr">
        <is>
          <t>Telur Omega</t>
        </is>
      </c>
      <c r="B224" t="inlineStr">
        <is>
          <t>Nasi Lemak 2 Sambal + Ayam Grilled</t>
        </is>
      </c>
      <c r="C224" t="inlineStr">
        <is>
          <t>2026-05</t>
        </is>
      </c>
      <c r="D224" t="n">
        <v>192</v>
      </c>
      <c r="E224" s="4" t="n">
        <v>1</v>
      </c>
      <c r="F224">
        <f>D224*E224</f>
        <v/>
      </c>
    </row>
    <row r="225">
      <c r="A225" t="inlineStr">
        <is>
          <t>Telur Omega</t>
        </is>
      </c>
      <c r="B225" t="inlineStr">
        <is>
          <t>Nasi Lemak 2 Sambal + Ayam Grilled</t>
        </is>
      </c>
      <c r="C225" t="inlineStr">
        <is>
          <t>2026-06</t>
        </is>
      </c>
      <c r="D225" t="n">
        <v>210</v>
      </c>
      <c r="E225" s="4" t="n">
        <v>1</v>
      </c>
      <c r="F225">
        <f>D225*E225</f>
        <v/>
      </c>
    </row>
    <row r="226">
      <c r="A226" t="inlineStr">
        <is>
          <t>Telur Omega</t>
        </is>
      </c>
      <c r="B226" t="inlineStr">
        <is>
          <t>Nasi Lemak 2 Sambal + Ayam Grilled</t>
        </is>
      </c>
      <c r="C226" t="inlineStr">
        <is>
          <t>2026-07</t>
        </is>
      </c>
      <c r="D226" t="n">
        <v>289</v>
      </c>
      <c r="E226" s="4" t="n">
        <v>1</v>
      </c>
      <c r="F226">
        <f>D226*E226</f>
        <v/>
      </c>
    </row>
    <row r="227">
      <c r="A227" t="inlineStr">
        <is>
          <t>Telur Omega</t>
        </is>
      </c>
      <c r="B227" t="inlineStr">
        <is>
          <t>Egg Sando</t>
        </is>
      </c>
      <c r="C227" t="inlineStr">
        <is>
          <t>2026-04</t>
        </is>
      </c>
      <c r="D227" t="n">
        <v>138</v>
      </c>
      <c r="E227" s="4" t="n">
        <v>1</v>
      </c>
      <c r="F227">
        <f>D227*E227</f>
        <v/>
      </c>
    </row>
    <row r="228">
      <c r="A228" t="inlineStr">
        <is>
          <t>Telur Omega</t>
        </is>
      </c>
      <c r="B228" t="inlineStr">
        <is>
          <t>Egg Sando</t>
        </is>
      </c>
      <c r="C228" t="inlineStr">
        <is>
          <t>2026-05</t>
        </is>
      </c>
      <c r="D228" t="n">
        <v>200</v>
      </c>
      <c r="E228" s="4" t="n">
        <v>1</v>
      </c>
      <c r="F228">
        <f>D228*E228</f>
        <v/>
      </c>
    </row>
    <row r="229">
      <c r="A229" t="inlineStr">
        <is>
          <t>Telur Omega</t>
        </is>
      </c>
      <c r="B229" t="inlineStr">
        <is>
          <t>Egg Sando</t>
        </is>
      </c>
      <c r="C229" t="inlineStr">
        <is>
          <t>2026-06</t>
        </is>
      </c>
      <c r="D229" t="n">
        <v>262</v>
      </c>
      <c r="E229" s="4" t="n">
        <v>1</v>
      </c>
      <c r="F229">
        <f>D229*E229</f>
        <v/>
      </c>
    </row>
    <row r="230">
      <c r="A230" t="inlineStr">
        <is>
          <t>Telur Omega</t>
        </is>
      </c>
      <c r="B230" t="inlineStr">
        <is>
          <t>Egg Sando</t>
        </is>
      </c>
      <c r="C230" t="inlineStr">
        <is>
          <t>2026-07</t>
        </is>
      </c>
      <c r="D230" t="n">
        <v>227</v>
      </c>
      <c r="E230" s="4" t="n">
        <v>1</v>
      </c>
      <c r="F230">
        <f>D230*E230</f>
        <v/>
      </c>
    </row>
    <row r="231">
      <c r="A231" t="inlineStr">
        <is>
          <t>Telur Omega</t>
        </is>
      </c>
      <c r="B231" t="inlineStr">
        <is>
          <t>Half Boiled Eggs</t>
        </is>
      </c>
      <c r="C231" t="inlineStr">
        <is>
          <t>2026-04</t>
        </is>
      </c>
      <c r="D231" t="n">
        <v>116</v>
      </c>
      <c r="E231" s="4" t="n">
        <v>2</v>
      </c>
      <c r="F231">
        <f>D231*E231</f>
        <v/>
      </c>
    </row>
    <row r="232">
      <c r="A232" t="inlineStr">
        <is>
          <t>Telur Omega</t>
        </is>
      </c>
      <c r="B232" t="inlineStr">
        <is>
          <t>Half Boiled Eggs</t>
        </is>
      </c>
      <c r="C232" t="inlineStr">
        <is>
          <t>2026-05</t>
        </is>
      </c>
      <c r="D232" t="n">
        <v>116</v>
      </c>
      <c r="E232" s="4" t="n">
        <v>2</v>
      </c>
      <c r="F232">
        <f>D232*E232</f>
        <v/>
      </c>
    </row>
    <row r="233">
      <c r="A233" t="inlineStr">
        <is>
          <t>Telur Omega</t>
        </is>
      </c>
      <c r="B233" t="inlineStr">
        <is>
          <t>Half Boiled Eggs</t>
        </is>
      </c>
      <c r="C233" t="inlineStr">
        <is>
          <t>2026-06</t>
        </is>
      </c>
      <c r="D233" t="n">
        <v>148</v>
      </c>
      <c r="E233" s="4" t="n">
        <v>2</v>
      </c>
      <c r="F233">
        <f>D233*E233</f>
        <v/>
      </c>
    </row>
    <row r="234">
      <c r="A234" t="inlineStr">
        <is>
          <t>Telur Omega</t>
        </is>
      </c>
      <c r="B234" t="inlineStr">
        <is>
          <t>Half Boiled Eggs</t>
        </is>
      </c>
      <c r="C234" t="inlineStr">
        <is>
          <t>2026-07</t>
        </is>
      </c>
      <c r="D234" t="n">
        <v>151</v>
      </c>
      <c r="E234" s="4" t="n">
        <v>2</v>
      </c>
      <c r="F234">
        <f>D234*E234</f>
        <v/>
      </c>
    </row>
    <row r="235">
      <c r="A235" t="inlineStr">
        <is>
          <t>Telur Omega</t>
        </is>
      </c>
      <c r="B235" t="inlineStr">
        <is>
          <t>Crispy Prawn Creamy Carbonara</t>
        </is>
      </c>
      <c r="C235" t="inlineStr">
        <is>
          <t>2026-04</t>
        </is>
      </c>
      <c r="D235" t="n">
        <v>110</v>
      </c>
      <c r="E235" s="4" t="n">
        <v>1</v>
      </c>
      <c r="F235">
        <f>D235*E235</f>
        <v/>
      </c>
    </row>
    <row r="236">
      <c r="A236" t="inlineStr">
        <is>
          <t>Telur Omega</t>
        </is>
      </c>
      <c r="B236" t="inlineStr">
        <is>
          <t>Crispy Prawn Creamy Carbonara</t>
        </is>
      </c>
      <c r="C236" t="inlineStr">
        <is>
          <t>2026-05</t>
        </is>
      </c>
      <c r="D236" t="n">
        <v>110</v>
      </c>
      <c r="E236" s="4" t="n">
        <v>1</v>
      </c>
      <c r="F236">
        <f>D236*E236</f>
        <v/>
      </c>
    </row>
    <row r="237">
      <c r="A237" t="inlineStr">
        <is>
          <t>Telur Omega</t>
        </is>
      </c>
      <c r="B237" t="inlineStr">
        <is>
          <t>Crispy Prawn Creamy Carbonara</t>
        </is>
      </c>
      <c r="C237" t="inlineStr">
        <is>
          <t>2026-06</t>
        </is>
      </c>
      <c r="D237" t="n">
        <v>89</v>
      </c>
      <c r="E237" s="4" t="n">
        <v>1</v>
      </c>
      <c r="F237">
        <f>D237*E237</f>
        <v/>
      </c>
    </row>
    <row r="238">
      <c r="A238" t="inlineStr">
        <is>
          <t>Telur Omega</t>
        </is>
      </c>
      <c r="B238" t="inlineStr">
        <is>
          <t>Crispy Prawn Creamy Carbonara</t>
        </is>
      </c>
      <c r="C238" t="inlineStr">
        <is>
          <t>2026-07</t>
        </is>
      </c>
      <c r="D238" t="n">
        <v>107</v>
      </c>
      <c r="E238" s="4" t="n">
        <v>1</v>
      </c>
      <c r="F238">
        <f>D238*E238</f>
        <v/>
      </c>
    </row>
    <row r="239">
      <c r="A239" t="inlineStr">
        <is>
          <t>Telur Omega</t>
        </is>
      </c>
      <c r="B239" t="inlineStr">
        <is>
          <t>Samyang Pasta</t>
        </is>
      </c>
      <c r="C239" t="inlineStr">
        <is>
          <t>2026-04</t>
        </is>
      </c>
      <c r="D239" t="n">
        <v>85</v>
      </c>
      <c r="E239" s="4" t="n">
        <v>1</v>
      </c>
      <c r="F239">
        <f>D239*E239</f>
        <v/>
      </c>
    </row>
    <row r="240">
      <c r="A240" t="inlineStr">
        <is>
          <t>Telur Omega</t>
        </is>
      </c>
      <c r="B240" t="inlineStr">
        <is>
          <t>Samyang Pasta</t>
        </is>
      </c>
      <c r="C240" t="inlineStr">
        <is>
          <t>2026-05</t>
        </is>
      </c>
      <c r="D240" t="n">
        <v>89</v>
      </c>
      <c r="E240" s="4" t="n">
        <v>1</v>
      </c>
      <c r="F240">
        <f>D240*E240</f>
        <v/>
      </c>
    </row>
    <row r="241">
      <c r="A241" t="inlineStr">
        <is>
          <t>Telur Omega</t>
        </is>
      </c>
      <c r="B241" t="inlineStr">
        <is>
          <t>Samyang Pasta</t>
        </is>
      </c>
      <c r="C241" t="inlineStr">
        <is>
          <t>2026-06</t>
        </is>
      </c>
      <c r="D241" t="n">
        <v>50</v>
      </c>
      <c r="E241" s="4" t="n">
        <v>1</v>
      </c>
      <c r="F241">
        <f>D241*E241</f>
        <v/>
      </c>
    </row>
    <row r="242">
      <c r="A242" t="inlineStr">
        <is>
          <t>Telur Omega</t>
        </is>
      </c>
      <c r="B242" t="inlineStr">
        <is>
          <t>Samyang Pasta</t>
        </is>
      </c>
      <c r="C242" t="inlineStr">
        <is>
          <t>2026-07</t>
        </is>
      </c>
      <c r="D242" t="n">
        <v>69</v>
      </c>
      <c r="E242" s="4" t="n">
        <v>1</v>
      </c>
      <c r="F242">
        <f>D242*E242</f>
        <v/>
      </c>
    </row>
    <row r="243">
      <c r="A243" t="inlineStr">
        <is>
          <t>Telur Omega</t>
        </is>
      </c>
      <c r="B243" t="inlineStr">
        <is>
          <t>Mee Kari</t>
        </is>
      </c>
      <c r="C243" t="inlineStr">
        <is>
          <t>2026-04</t>
        </is>
      </c>
      <c r="D243" t="n">
        <v>55</v>
      </c>
      <c r="E243" s="4" t="n">
        <v>0.5</v>
      </c>
      <c r="F243">
        <f>D243*E243</f>
        <v/>
      </c>
    </row>
    <row r="244">
      <c r="A244" t="inlineStr">
        <is>
          <t>Telur Omega</t>
        </is>
      </c>
      <c r="B244" t="inlineStr">
        <is>
          <t>Mee Kari</t>
        </is>
      </c>
      <c r="C244" t="inlineStr">
        <is>
          <t>2026-05</t>
        </is>
      </c>
      <c r="D244" t="n">
        <v>87</v>
      </c>
      <c r="E244" s="4" t="n">
        <v>0.5</v>
      </c>
      <c r="F244">
        <f>D244*E244</f>
        <v/>
      </c>
    </row>
    <row r="245">
      <c r="A245" t="inlineStr">
        <is>
          <t>Telur Omega</t>
        </is>
      </c>
      <c r="B245" t="inlineStr">
        <is>
          <t>Mee Kari</t>
        </is>
      </c>
      <c r="C245" t="inlineStr">
        <is>
          <t>2026-06</t>
        </is>
      </c>
      <c r="D245" t="n">
        <v>108</v>
      </c>
      <c r="E245" s="4" t="n">
        <v>0.5</v>
      </c>
      <c r="F245">
        <f>D245*E245</f>
        <v/>
      </c>
    </row>
    <row r="246">
      <c r="A246" t="inlineStr">
        <is>
          <t>Telur Omega</t>
        </is>
      </c>
      <c r="B246" t="inlineStr">
        <is>
          <t>Mee Kari</t>
        </is>
      </c>
      <c r="C246" t="inlineStr">
        <is>
          <t>2026-07</t>
        </is>
      </c>
      <c r="D246" t="n">
        <v>111</v>
      </c>
      <c r="E246" s="4" t="n">
        <v>0.5</v>
      </c>
      <c r="F246">
        <f>D246*E246</f>
        <v/>
      </c>
    </row>
    <row r="247">
      <c r="A247" t="inlineStr">
        <is>
          <t>Telur Omega</t>
        </is>
      </c>
      <c r="B247" t="inlineStr">
        <is>
          <t>Nasi Lemak 2 Sambal + Sambal Udang</t>
        </is>
      </c>
      <c r="C247" t="inlineStr">
        <is>
          <t>2026-04</t>
        </is>
      </c>
      <c r="D247" t="n">
        <v>49</v>
      </c>
      <c r="E247" s="4" t="n">
        <v>1</v>
      </c>
      <c r="F247">
        <f>D247*E247</f>
        <v/>
      </c>
    </row>
    <row r="248">
      <c r="A248" t="inlineStr">
        <is>
          <t>Telur Omega</t>
        </is>
      </c>
      <c r="B248" t="inlineStr">
        <is>
          <t>Nasi Lemak 2 Sambal + Sambal Udang</t>
        </is>
      </c>
      <c r="C248" t="inlineStr">
        <is>
          <t>2026-05</t>
        </is>
      </c>
      <c r="D248" t="n">
        <v>58</v>
      </c>
      <c r="E248" s="4" t="n">
        <v>1</v>
      </c>
      <c r="F248">
        <f>D248*E248</f>
        <v/>
      </c>
    </row>
    <row r="249">
      <c r="A249" t="inlineStr">
        <is>
          <t>Telur Omega</t>
        </is>
      </c>
      <c r="B249" t="inlineStr">
        <is>
          <t>Nasi Lemak 2 Sambal + Sambal Udang</t>
        </is>
      </c>
      <c r="C249" t="inlineStr">
        <is>
          <t>2026-06</t>
        </is>
      </c>
      <c r="D249" t="n">
        <v>52</v>
      </c>
      <c r="E249" s="4" t="n">
        <v>1</v>
      </c>
      <c r="F249">
        <f>D249*E249</f>
        <v/>
      </c>
    </row>
    <row r="250">
      <c r="A250" t="inlineStr">
        <is>
          <t>Telur Omega</t>
        </is>
      </c>
      <c r="B250" t="inlineStr">
        <is>
          <t>Nasi Lemak 2 Sambal + Sambal Udang</t>
        </is>
      </c>
      <c r="C250" t="inlineStr">
        <is>
          <t>2026-07</t>
        </is>
      </c>
      <c r="D250" t="n">
        <v>66</v>
      </c>
      <c r="E250" s="4" t="n">
        <v>1</v>
      </c>
      <c r="F250">
        <f>D250*E250</f>
        <v/>
      </c>
    </row>
    <row r="251">
      <c r="A251" t="inlineStr">
        <is>
          <t>Telur Omega</t>
        </is>
      </c>
      <c r="B251" t="inlineStr">
        <is>
          <t>Nasi Lemak 2 Sambal + Udang Crispy</t>
        </is>
      </c>
      <c r="C251" t="inlineStr">
        <is>
          <t>2026-04</t>
        </is>
      </c>
      <c r="D251" t="n">
        <v>47</v>
      </c>
      <c r="E251" s="4" t="n">
        <v>1</v>
      </c>
      <c r="F251">
        <f>D251*E251</f>
        <v/>
      </c>
    </row>
    <row r="252">
      <c r="A252" t="inlineStr">
        <is>
          <t>Telur Omega</t>
        </is>
      </c>
      <c r="B252" t="inlineStr">
        <is>
          <t>Nasi Lemak 2 Sambal + Udang Crispy</t>
        </is>
      </c>
      <c r="C252" t="inlineStr">
        <is>
          <t>2026-05</t>
        </is>
      </c>
      <c r="D252" t="n">
        <v>34</v>
      </c>
      <c r="E252" s="4" t="n">
        <v>1</v>
      </c>
      <c r="F252">
        <f>D252*E252</f>
        <v/>
      </c>
    </row>
    <row r="253">
      <c r="A253" t="inlineStr">
        <is>
          <t>Telur Omega</t>
        </is>
      </c>
      <c r="B253" t="inlineStr">
        <is>
          <t>Nasi Lemak 2 Sambal + Udang Crispy</t>
        </is>
      </c>
      <c r="C253" t="inlineStr">
        <is>
          <t>2026-06</t>
        </is>
      </c>
      <c r="D253" t="n">
        <v>25</v>
      </c>
      <c r="E253" s="4" t="n">
        <v>1</v>
      </c>
      <c r="F253">
        <f>D253*E253</f>
        <v/>
      </c>
    </row>
    <row r="254">
      <c r="A254" t="inlineStr">
        <is>
          <t>Telur Omega</t>
        </is>
      </c>
      <c r="B254" t="inlineStr">
        <is>
          <t>Nasi Lemak 2 Sambal + Udang Crispy</t>
        </is>
      </c>
      <c r="C254" t="inlineStr">
        <is>
          <t>2026-07</t>
        </is>
      </c>
      <c r="D254" t="n">
        <v>46</v>
      </c>
      <c r="E254" s="4" t="n">
        <v>1</v>
      </c>
      <c r="F254">
        <f>D254*E254</f>
        <v/>
      </c>
    </row>
    <row r="255">
      <c r="A255" t="inlineStr">
        <is>
          <t>Telur Omega</t>
        </is>
      </c>
      <c r="B255" t="inlineStr">
        <is>
          <t>Bihun Kari</t>
        </is>
      </c>
      <c r="C255" t="inlineStr">
        <is>
          <t>2026-04</t>
        </is>
      </c>
      <c r="D255" t="n">
        <v>15</v>
      </c>
      <c r="E255" s="4" t="n">
        <v>0.5</v>
      </c>
      <c r="F255">
        <f>D255*E255</f>
        <v/>
      </c>
    </row>
    <row r="256">
      <c r="A256" t="inlineStr">
        <is>
          <t>Telur Omega</t>
        </is>
      </c>
      <c r="B256" t="inlineStr">
        <is>
          <t>Bihun Kari</t>
        </is>
      </c>
      <c r="C256" t="inlineStr">
        <is>
          <t>2026-05</t>
        </is>
      </c>
      <c r="D256" t="n">
        <v>22</v>
      </c>
      <c r="E256" s="4" t="n">
        <v>0.5</v>
      </c>
      <c r="F256">
        <f>D256*E256</f>
        <v/>
      </c>
    </row>
    <row r="257">
      <c r="A257" t="inlineStr">
        <is>
          <t>Telur Omega</t>
        </is>
      </c>
      <c r="B257" t="inlineStr">
        <is>
          <t>Bihun Kari</t>
        </is>
      </c>
      <c r="C257" t="inlineStr">
        <is>
          <t>2026-06</t>
        </is>
      </c>
      <c r="D257" t="n">
        <v>32</v>
      </c>
      <c r="E257" s="4" t="n">
        <v>0.5</v>
      </c>
      <c r="F257">
        <f>D257*E257</f>
        <v/>
      </c>
    </row>
    <row r="258">
      <c r="A258" t="inlineStr">
        <is>
          <t>Telur Omega</t>
        </is>
      </c>
      <c r="B258" t="inlineStr">
        <is>
          <t>Bihun Kari</t>
        </is>
      </c>
      <c r="C258" t="inlineStr">
        <is>
          <t>2026-07</t>
        </is>
      </c>
      <c r="D258" t="n">
        <v>46</v>
      </c>
      <c r="E258" s="4" t="n">
        <v>0.5</v>
      </c>
      <c r="F258">
        <f>D258*E258</f>
        <v/>
      </c>
    </row>
    <row r="259">
      <c r="A259" t="inlineStr">
        <is>
          <t>Telur Omega</t>
        </is>
      </c>
      <c r="B259" t="inlineStr">
        <is>
          <t>Mee Kari Asam</t>
        </is>
      </c>
      <c r="C259" t="inlineStr">
        <is>
          <t>2026-04</t>
        </is>
      </c>
      <c r="D259" t="n">
        <v>6</v>
      </c>
      <c r="E259" s="4" t="n">
        <v>0.5</v>
      </c>
      <c r="F259">
        <f>D259*E259</f>
        <v/>
      </c>
    </row>
    <row r="260">
      <c r="A260" t="inlineStr">
        <is>
          <t>Telur Omega</t>
        </is>
      </c>
      <c r="B260" t="inlineStr">
        <is>
          <t>Mee Kari Asam</t>
        </is>
      </c>
      <c r="C260" t="inlineStr">
        <is>
          <t>2026-05</t>
        </is>
      </c>
      <c r="D260" t="n">
        <v>12</v>
      </c>
      <c r="E260" s="4" t="n">
        <v>0.5</v>
      </c>
      <c r="F260">
        <f>D260*E260</f>
        <v/>
      </c>
    </row>
    <row r="261">
      <c r="A261" t="inlineStr">
        <is>
          <t>Telur Omega</t>
        </is>
      </c>
      <c r="B261" t="inlineStr">
        <is>
          <t>Mee Kari Asam</t>
        </is>
      </c>
      <c r="C261" t="inlineStr">
        <is>
          <t>2026-06</t>
        </is>
      </c>
      <c r="D261" t="n">
        <v>22</v>
      </c>
      <c r="E261" s="4" t="n">
        <v>0.5</v>
      </c>
      <c r="F261">
        <f>D261*E261</f>
        <v/>
      </c>
    </row>
    <row r="262">
      <c r="A262" t="inlineStr">
        <is>
          <t>Telur Omega</t>
        </is>
      </c>
      <c r="B262" t="inlineStr">
        <is>
          <t>Mee Kari Asam</t>
        </is>
      </c>
      <c r="C262" t="inlineStr">
        <is>
          <t>2026-07</t>
        </is>
      </c>
      <c r="D262" t="n">
        <v>23</v>
      </c>
      <c r="E262" s="4" t="n">
        <v>0.5</v>
      </c>
      <c r="F262">
        <f>D262*E262</f>
        <v/>
      </c>
    </row>
    <row r="263">
      <c r="A263" t="inlineStr">
        <is>
          <t>Telur Omega</t>
        </is>
      </c>
      <c r="B263" t="inlineStr">
        <is>
          <t>Bihun Kari Asam</t>
        </is>
      </c>
      <c r="C263" t="inlineStr">
        <is>
          <t>2026-04</t>
        </is>
      </c>
      <c r="D263" t="n">
        <v>5</v>
      </c>
      <c r="E263" s="4" t="n">
        <v>0.5</v>
      </c>
      <c r="F263">
        <f>D263*E263</f>
        <v/>
      </c>
    </row>
    <row r="264">
      <c r="A264" t="inlineStr">
        <is>
          <t>Telur Omega</t>
        </is>
      </c>
      <c r="B264" t="inlineStr">
        <is>
          <t>Bihun Kari Asam</t>
        </is>
      </c>
      <c r="C264" t="inlineStr">
        <is>
          <t>2026-05</t>
        </is>
      </c>
      <c r="D264" t="n">
        <v>7</v>
      </c>
      <c r="E264" s="4" t="n">
        <v>0.5</v>
      </c>
      <c r="F264">
        <f>D264*E264</f>
        <v/>
      </c>
    </row>
    <row r="265">
      <c r="A265" t="inlineStr">
        <is>
          <t>Telur Omega</t>
        </is>
      </c>
      <c r="B265" t="inlineStr">
        <is>
          <t>Bihun Kari Asam</t>
        </is>
      </c>
      <c r="C265" t="inlineStr">
        <is>
          <t>2026-06</t>
        </is>
      </c>
      <c r="D265" t="n">
        <v>15</v>
      </c>
      <c r="E265" s="4" t="n">
        <v>0.5</v>
      </c>
      <c r="F265">
        <f>D265*E265</f>
        <v/>
      </c>
    </row>
    <row r="266">
      <c r="A266" t="inlineStr">
        <is>
          <t>Telur Omega</t>
        </is>
      </c>
      <c r="B266" t="inlineStr">
        <is>
          <t>Bihun Kari Asam</t>
        </is>
      </c>
      <c r="C266" t="inlineStr">
        <is>
          <t>2026-07</t>
        </is>
      </c>
      <c r="D266" t="n">
        <v>23</v>
      </c>
      <c r="E266" s="4" t="n">
        <v>0.5</v>
      </c>
      <c r="F266">
        <f>D266*E266</f>
        <v/>
      </c>
    </row>
    <row r="267">
      <c r="A267" t="inlineStr">
        <is>
          <t>Burnt Cheesecake</t>
        </is>
      </c>
      <c r="B267" t="inlineStr">
        <is>
          <t>Burnt Cheesecake</t>
        </is>
      </c>
      <c r="C267" t="inlineStr">
        <is>
          <t>2026-04</t>
        </is>
      </c>
      <c r="D267" t="n">
        <v>304</v>
      </c>
      <c r="E267" s="4" t="n">
        <v>1</v>
      </c>
      <c r="F267">
        <f>D267*E267</f>
        <v/>
      </c>
    </row>
    <row r="268">
      <c r="A268" t="inlineStr">
        <is>
          <t>Burnt Cheesecake</t>
        </is>
      </c>
      <c r="B268" t="inlineStr">
        <is>
          <t>Burnt Cheesecake</t>
        </is>
      </c>
      <c r="C268" t="inlineStr">
        <is>
          <t>2026-05</t>
        </is>
      </c>
      <c r="D268" t="n">
        <v>353</v>
      </c>
      <c r="E268" s="4" t="n">
        <v>1</v>
      </c>
      <c r="F268">
        <f>D268*E268</f>
        <v/>
      </c>
    </row>
    <row r="269">
      <c r="A269" t="inlineStr">
        <is>
          <t>Burnt Cheesecake</t>
        </is>
      </c>
      <c r="B269" t="inlineStr">
        <is>
          <t>Burnt Cheesecake</t>
        </is>
      </c>
      <c r="C269" t="inlineStr">
        <is>
          <t>2026-06</t>
        </is>
      </c>
      <c r="D269" t="n">
        <v>217</v>
      </c>
      <c r="E269" s="4" t="n">
        <v>1</v>
      </c>
      <c r="F269">
        <f>D269*E269</f>
        <v/>
      </c>
    </row>
    <row r="270">
      <c r="A270" t="inlineStr">
        <is>
          <t>Burnt Cheesecake</t>
        </is>
      </c>
      <c r="B270" t="inlineStr">
        <is>
          <t>Burnt Cheesecake</t>
        </is>
      </c>
      <c r="C270" t="inlineStr">
        <is>
          <t>2026-07</t>
        </is>
      </c>
      <c r="D270" t="n">
        <v>201</v>
      </c>
      <c r="E270" s="4" t="n">
        <v>1</v>
      </c>
      <c r="F270">
        <f>D270*E270</f>
        <v/>
      </c>
    </row>
    <row r="271">
      <c r="A271" t="inlineStr">
        <is>
          <t>Salted Croissant</t>
        </is>
      </c>
      <c r="B271" t="inlineStr">
        <is>
          <t>Salted Egg Croissant</t>
        </is>
      </c>
      <c r="C271" t="inlineStr">
        <is>
          <t>2026-04</t>
        </is>
      </c>
      <c r="D271" t="n">
        <v>350</v>
      </c>
      <c r="E271" s="4" t="n">
        <v>1</v>
      </c>
      <c r="F271">
        <f>D271*E271</f>
        <v/>
      </c>
    </row>
    <row r="272">
      <c r="A272" t="inlineStr">
        <is>
          <t>Salted Croissant</t>
        </is>
      </c>
      <c r="B272" t="inlineStr">
        <is>
          <t>Salted Egg Croissant</t>
        </is>
      </c>
      <c r="C272" t="inlineStr">
        <is>
          <t>2026-05</t>
        </is>
      </c>
      <c r="D272" t="n">
        <v>360</v>
      </c>
      <c r="E272" s="4" t="n">
        <v>1</v>
      </c>
      <c r="F272">
        <f>D272*E272</f>
        <v/>
      </c>
    </row>
    <row r="273">
      <c r="A273" t="inlineStr">
        <is>
          <t>Salted Croissant</t>
        </is>
      </c>
      <c r="B273" t="inlineStr">
        <is>
          <t>Salted Egg Croissant</t>
        </is>
      </c>
      <c r="C273" t="inlineStr">
        <is>
          <t>2026-06</t>
        </is>
      </c>
      <c r="D273" t="n">
        <v>296</v>
      </c>
      <c r="E273" s="4" t="n">
        <v>1</v>
      </c>
      <c r="F273">
        <f>D273*E273</f>
        <v/>
      </c>
    </row>
    <row r="274">
      <c r="A274" t="inlineStr">
        <is>
          <t>Salted Croissant</t>
        </is>
      </c>
      <c r="B274" t="inlineStr">
        <is>
          <t>Salted Egg Croissant</t>
        </is>
      </c>
      <c r="C274" t="inlineStr">
        <is>
          <t>2026-07</t>
        </is>
      </c>
      <c r="D274" t="n">
        <v>194</v>
      </c>
      <c r="E274" s="4" t="n">
        <v>1</v>
      </c>
      <c r="F274">
        <f>D274*E274</f>
        <v/>
      </c>
    </row>
    <row r="275">
      <c r="A275" t="inlineStr">
        <is>
          <t>Udang</t>
        </is>
      </c>
      <c r="B275" t="inlineStr">
        <is>
          <t>Mee Kari</t>
        </is>
      </c>
      <c r="C275" t="inlineStr">
        <is>
          <t>2026-04</t>
        </is>
      </c>
      <c r="D275" t="n">
        <v>55</v>
      </c>
      <c r="E275" s="4" t="n">
        <v>80</v>
      </c>
      <c r="F275">
        <f>D275*E275</f>
        <v/>
      </c>
    </row>
    <row r="276">
      <c r="A276" t="inlineStr">
        <is>
          <t>Udang</t>
        </is>
      </c>
      <c r="B276" t="inlineStr">
        <is>
          <t>Mee Kari</t>
        </is>
      </c>
      <c r="C276" t="inlineStr">
        <is>
          <t>2026-05</t>
        </is>
      </c>
      <c r="D276" t="n">
        <v>87</v>
      </c>
      <c r="E276" s="4" t="n">
        <v>80</v>
      </c>
      <c r="F276">
        <f>D276*E276</f>
        <v/>
      </c>
    </row>
    <row r="277">
      <c r="A277" t="inlineStr">
        <is>
          <t>Udang</t>
        </is>
      </c>
      <c r="B277" t="inlineStr">
        <is>
          <t>Mee Kari</t>
        </is>
      </c>
      <c r="C277" t="inlineStr">
        <is>
          <t>2026-06</t>
        </is>
      </c>
      <c r="D277" t="n">
        <v>108</v>
      </c>
      <c r="E277" s="4" t="n">
        <v>80</v>
      </c>
      <c r="F277">
        <f>D277*E277</f>
        <v/>
      </c>
    </row>
    <row r="278">
      <c r="A278" t="inlineStr">
        <is>
          <t>Udang</t>
        </is>
      </c>
      <c r="B278" t="inlineStr">
        <is>
          <t>Mee Kari</t>
        </is>
      </c>
      <c r="C278" t="inlineStr">
        <is>
          <t>2026-07</t>
        </is>
      </c>
      <c r="D278" t="n">
        <v>111</v>
      </c>
      <c r="E278" s="4" t="n">
        <v>80</v>
      </c>
      <c r="F278">
        <f>D278*E278</f>
        <v/>
      </c>
    </row>
    <row r="279">
      <c r="A279" t="inlineStr">
        <is>
          <t>Udang</t>
        </is>
      </c>
      <c r="B279" t="inlineStr">
        <is>
          <t>Bihun Kari</t>
        </is>
      </c>
      <c r="C279" t="inlineStr">
        <is>
          <t>2026-04</t>
        </is>
      </c>
      <c r="D279" t="n">
        <v>15</v>
      </c>
      <c r="E279" s="4" t="n">
        <v>80</v>
      </c>
      <c r="F279">
        <f>D279*E279</f>
        <v/>
      </c>
    </row>
    <row r="280">
      <c r="A280" t="inlineStr">
        <is>
          <t>Udang</t>
        </is>
      </c>
      <c r="B280" t="inlineStr">
        <is>
          <t>Bihun Kari</t>
        </is>
      </c>
      <c r="C280" t="inlineStr">
        <is>
          <t>2026-05</t>
        </is>
      </c>
      <c r="D280" t="n">
        <v>22</v>
      </c>
      <c r="E280" s="4" t="n">
        <v>80</v>
      </c>
      <c r="F280">
        <f>D280*E280</f>
        <v/>
      </c>
    </row>
    <row r="281">
      <c r="A281" t="inlineStr">
        <is>
          <t>Udang</t>
        </is>
      </c>
      <c r="B281" t="inlineStr">
        <is>
          <t>Bihun Kari</t>
        </is>
      </c>
      <c r="C281" t="inlineStr">
        <is>
          <t>2026-06</t>
        </is>
      </c>
      <c r="D281" t="n">
        <v>32</v>
      </c>
      <c r="E281" s="4" t="n">
        <v>80</v>
      </c>
      <c r="F281">
        <f>D281*E281</f>
        <v/>
      </c>
    </row>
    <row r="282">
      <c r="A282" t="inlineStr">
        <is>
          <t>Udang</t>
        </is>
      </c>
      <c r="B282" t="inlineStr">
        <is>
          <t>Bihun Kari</t>
        </is>
      </c>
      <c r="C282" t="inlineStr">
        <is>
          <t>2026-07</t>
        </is>
      </c>
      <c r="D282" t="n">
        <v>46</v>
      </c>
      <c r="E282" s="4" t="n">
        <v>80</v>
      </c>
      <c r="F282">
        <f>D282*E282</f>
        <v/>
      </c>
    </row>
    <row r="283">
      <c r="A283" t="inlineStr">
        <is>
          <t>Udang</t>
        </is>
      </c>
      <c r="B283" t="inlineStr">
        <is>
          <t>Mee Kari Asam</t>
        </is>
      </c>
      <c r="C283" t="inlineStr">
        <is>
          <t>2026-04</t>
        </is>
      </c>
      <c r="D283" t="n">
        <v>6</v>
      </c>
      <c r="E283" s="4" t="n">
        <v>80</v>
      </c>
      <c r="F283">
        <f>D283*E283</f>
        <v/>
      </c>
    </row>
    <row r="284">
      <c r="A284" t="inlineStr">
        <is>
          <t>Udang</t>
        </is>
      </c>
      <c r="B284" t="inlineStr">
        <is>
          <t>Mee Kari Asam</t>
        </is>
      </c>
      <c r="C284" t="inlineStr">
        <is>
          <t>2026-05</t>
        </is>
      </c>
      <c r="D284" t="n">
        <v>12</v>
      </c>
      <c r="E284" s="4" t="n">
        <v>80</v>
      </c>
      <c r="F284">
        <f>D284*E284</f>
        <v/>
      </c>
    </row>
    <row r="285">
      <c r="A285" t="inlineStr">
        <is>
          <t>Udang</t>
        </is>
      </c>
      <c r="B285" t="inlineStr">
        <is>
          <t>Mee Kari Asam</t>
        </is>
      </c>
      <c r="C285" t="inlineStr">
        <is>
          <t>2026-06</t>
        </is>
      </c>
      <c r="D285" t="n">
        <v>22</v>
      </c>
      <c r="E285" s="4" t="n">
        <v>80</v>
      </c>
      <c r="F285">
        <f>D285*E285</f>
        <v/>
      </c>
    </row>
    <row r="286">
      <c r="A286" t="inlineStr">
        <is>
          <t>Udang</t>
        </is>
      </c>
      <c r="B286" t="inlineStr">
        <is>
          <t>Mee Kari Asam</t>
        </is>
      </c>
      <c r="C286" t="inlineStr">
        <is>
          <t>2026-07</t>
        </is>
      </c>
      <c r="D286" t="n">
        <v>23</v>
      </c>
      <c r="E286" s="4" t="n">
        <v>80</v>
      </c>
      <c r="F286">
        <f>D286*E286</f>
        <v/>
      </c>
    </row>
    <row r="287">
      <c r="A287" t="inlineStr">
        <is>
          <t>Udang</t>
        </is>
      </c>
      <c r="B287" t="inlineStr">
        <is>
          <t>Bihun Kari Asam</t>
        </is>
      </c>
      <c r="C287" t="inlineStr">
        <is>
          <t>2026-04</t>
        </is>
      </c>
      <c r="D287" t="n">
        <v>5</v>
      </c>
      <c r="E287" s="4" t="n">
        <v>80</v>
      </c>
      <c r="F287">
        <f>D287*E287</f>
        <v/>
      </c>
    </row>
    <row r="288">
      <c r="A288" t="inlineStr">
        <is>
          <t>Udang</t>
        </is>
      </c>
      <c r="B288" t="inlineStr">
        <is>
          <t>Bihun Kari Asam</t>
        </is>
      </c>
      <c r="C288" t="inlineStr">
        <is>
          <t>2026-05</t>
        </is>
      </c>
      <c r="D288" t="n">
        <v>7</v>
      </c>
      <c r="E288" s="4" t="n">
        <v>80</v>
      </c>
      <c r="F288">
        <f>D288*E288</f>
        <v/>
      </c>
    </row>
    <row r="289">
      <c r="A289" t="inlineStr">
        <is>
          <t>Udang</t>
        </is>
      </c>
      <c r="B289" t="inlineStr">
        <is>
          <t>Bihun Kari Asam</t>
        </is>
      </c>
      <c r="C289" t="inlineStr">
        <is>
          <t>2026-06</t>
        </is>
      </c>
      <c r="D289" t="n">
        <v>15</v>
      </c>
      <c r="E289" s="4" t="n">
        <v>80</v>
      </c>
      <c r="F289">
        <f>D289*E289</f>
        <v/>
      </c>
    </row>
    <row r="290">
      <c r="A290" t="inlineStr">
        <is>
          <t>Udang</t>
        </is>
      </c>
      <c r="B290" t="inlineStr">
        <is>
          <t>Bihun Kari Asam</t>
        </is>
      </c>
      <c r="C290" t="inlineStr">
        <is>
          <t>2026-07</t>
        </is>
      </c>
      <c r="D290" t="n">
        <v>23</v>
      </c>
      <c r="E290" s="4" t="n">
        <v>80</v>
      </c>
      <c r="F290">
        <f>D290*E290</f>
        <v/>
      </c>
    </row>
    <row r="291">
      <c r="A291" t="inlineStr">
        <is>
          <t>Pull Lamb</t>
        </is>
      </c>
      <c r="B291" t="inlineStr">
        <is>
          <t>Smoked Pulled Lamb</t>
        </is>
      </c>
      <c r="C291" t="inlineStr">
        <is>
          <t>2026-04</t>
        </is>
      </c>
      <c r="D291" t="n">
        <v>87</v>
      </c>
      <c r="E291" s="4" t="n">
        <v>50</v>
      </c>
      <c r="F291">
        <f>D291*E291</f>
        <v/>
      </c>
    </row>
    <row r="292">
      <c r="A292" t="inlineStr">
        <is>
          <t>Pull Lamb</t>
        </is>
      </c>
      <c r="B292" t="inlineStr">
        <is>
          <t>Smoked Pulled Lamb</t>
        </is>
      </c>
      <c r="C292" t="inlineStr">
        <is>
          <t>2026-05</t>
        </is>
      </c>
      <c r="D292" t="n">
        <v>118</v>
      </c>
      <c r="E292" s="4" t="n">
        <v>50</v>
      </c>
      <c r="F292">
        <f>D292*E292</f>
        <v/>
      </c>
    </row>
    <row r="293">
      <c r="A293" t="inlineStr">
        <is>
          <t>Pull Lamb</t>
        </is>
      </c>
      <c r="B293" t="inlineStr">
        <is>
          <t>Smoked Pulled Lamb</t>
        </is>
      </c>
      <c r="C293" t="inlineStr">
        <is>
          <t>2026-06</t>
        </is>
      </c>
      <c r="D293" t="n">
        <v>87</v>
      </c>
      <c r="E293" s="4" t="n">
        <v>50</v>
      </c>
      <c r="F293">
        <f>D293*E293</f>
        <v/>
      </c>
    </row>
    <row r="294">
      <c r="A294" t="inlineStr">
        <is>
          <t>Pull Lamb</t>
        </is>
      </c>
      <c r="B294" t="inlineStr">
        <is>
          <t>Smoked Pulled Lamb</t>
        </is>
      </c>
      <c r="C294" t="inlineStr">
        <is>
          <t>2026-07</t>
        </is>
      </c>
      <c r="D294" t="n">
        <v>92</v>
      </c>
      <c r="E294" s="4" t="n">
        <v>50</v>
      </c>
      <c r="F294">
        <f>D294*E294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7" customWidth="1" min="4" max="4"/>
    <col width="22" customWidth="1" min="5" max="5"/>
    <col width="24" customWidth="1" min="6" max="6"/>
    <col width="24" customWidth="1" min="7" max="7"/>
    <col width="9" customWidth="1" min="8" max="8"/>
    <col width="11" customWidth="1" min="9" max="9"/>
    <col width="14" customWidth="1" min="10" max="10"/>
    <col width="9" customWidth="1" min="11" max="11"/>
    <col width="12" customWidth="1" min="12" max="12"/>
  </cols>
  <sheetData>
    <row r="1">
      <c r="A1" s="3" t="inlineStr">
        <is>
          <t>Month</t>
        </is>
      </c>
      <c r="B1" s="3" t="inlineStr">
        <is>
          <t>Date</t>
        </is>
      </c>
      <c r="C1" s="3" t="inlineStr">
        <is>
          <t>PO number</t>
        </is>
      </c>
      <c r="D1" s="3" t="inlineStr">
        <is>
          <t>Outlet</t>
        </is>
      </c>
      <c r="E1" s="3" t="inlineStr">
        <is>
          <t>Supplier</t>
        </is>
      </c>
      <c r="F1" s="3" t="inlineStr">
        <is>
          <t>Product</t>
        </is>
      </c>
      <c r="G1" s="3" t="inlineStr">
        <is>
          <t>Package</t>
        </is>
      </c>
      <c r="H1" s="3" t="inlineStr">
        <is>
          <t>Qty (EDIT)</t>
        </is>
      </c>
      <c r="I1" s="3" t="inlineStr">
        <is>
          <t>Conversion (EDIT)</t>
        </is>
      </c>
      <c r="J1" s="3" t="inlineStr">
        <is>
          <t>Base units = qty x conv</t>
        </is>
      </c>
      <c r="K1" s="3" t="inlineStr">
        <is>
          <t>Unit RM</t>
        </is>
      </c>
      <c r="L1" s="3" t="inlineStr">
        <is>
          <t>Line total RM</t>
        </is>
      </c>
    </row>
    <row r="2">
      <c r="A2" t="inlineStr">
        <is>
          <t>2026-05</t>
        </is>
      </c>
      <c r="B2" t="inlineStr">
        <is>
          <t>2026-05-11</t>
        </is>
      </c>
      <c r="C2" t="inlineStr">
        <is>
          <t>CC-CC001-0108</t>
        </is>
      </c>
      <c r="D2" t="inlineStr">
        <is>
          <t>PJ</t>
        </is>
      </c>
      <c r="E2" t="inlineStr">
        <is>
          <t>Country Bread</t>
        </is>
      </c>
      <c r="F2" t="inlineStr">
        <is>
          <t>Brioche Sandwich</t>
        </is>
      </c>
      <c r="G2" t="inlineStr">
        <is>
          <t>10pcs Loaf</t>
        </is>
      </c>
      <c r="H2" s="4" t="n">
        <v>28</v>
      </c>
      <c r="I2" s="4" t="n">
        <v>10</v>
      </c>
      <c r="J2">
        <f>H2*I2</f>
        <v/>
      </c>
      <c r="K2" t="n">
        <v>15.5</v>
      </c>
      <c r="L2" t="n">
        <v>434</v>
      </c>
    </row>
    <row r="3">
      <c r="A3" t="inlineStr">
        <is>
          <t>2026-05</t>
        </is>
      </c>
      <c r="B3" t="inlineStr">
        <is>
          <t>2026-05-11</t>
        </is>
      </c>
      <c r="C3" t="inlineStr">
        <is>
          <t>CC-CC001-0109</t>
        </is>
      </c>
      <c r="D3" t="inlineStr">
        <is>
          <t>PJ</t>
        </is>
      </c>
      <c r="E3" t="inlineStr">
        <is>
          <t>Country Bread</t>
        </is>
      </c>
      <c r="F3" t="inlineStr">
        <is>
          <t>Brioche Sandwich</t>
        </is>
      </c>
      <c r="G3" t="inlineStr">
        <is>
          <t>10pcs Loaf</t>
        </is>
      </c>
      <c r="H3" s="4" t="n">
        <v>24</v>
      </c>
      <c r="I3" s="4" t="n">
        <v>10</v>
      </c>
      <c r="J3">
        <f>H3*I3</f>
        <v/>
      </c>
      <c r="K3" t="n">
        <v>15.5</v>
      </c>
      <c r="L3" t="n">
        <v>372</v>
      </c>
    </row>
    <row r="4">
      <c r="A4" t="inlineStr">
        <is>
          <t>2026-05</t>
        </is>
      </c>
      <c r="B4" t="inlineStr">
        <is>
          <t>2026-05-11</t>
        </is>
      </c>
      <c r="C4" t="inlineStr">
        <is>
          <t>CC-CC003-0059</t>
        </is>
      </c>
      <c r="D4" t="inlineStr">
        <is>
          <t>TAM</t>
        </is>
      </c>
      <c r="E4" t="inlineStr">
        <is>
          <t>Country Bread</t>
        </is>
      </c>
      <c r="F4" t="inlineStr">
        <is>
          <t>Brioche Sandwich</t>
        </is>
      </c>
      <c r="G4" t="inlineStr">
        <is>
          <t>10pcs Loaf</t>
        </is>
      </c>
      <c r="H4" s="4" t="n">
        <v>12</v>
      </c>
      <c r="I4" s="4" t="n">
        <v>10</v>
      </c>
      <c r="J4">
        <f>H4*I4</f>
        <v/>
      </c>
      <c r="K4" t="n">
        <v>15.5</v>
      </c>
      <c r="L4" t="n">
        <v>186</v>
      </c>
    </row>
    <row r="5">
      <c r="A5" t="inlineStr">
        <is>
          <t>2026-05</t>
        </is>
      </c>
      <c r="B5" t="inlineStr">
        <is>
          <t>2026-05-11</t>
        </is>
      </c>
      <c r="C5" t="inlineStr">
        <is>
          <t>CC-CC002-0089</t>
        </is>
      </c>
      <c r="D5" t="inlineStr">
        <is>
          <t>SA</t>
        </is>
      </c>
      <c r="E5" t="inlineStr">
        <is>
          <t>Country Bread</t>
        </is>
      </c>
      <c r="F5" t="inlineStr">
        <is>
          <t>Brioche Sandwich</t>
        </is>
      </c>
      <c r="G5" t="inlineStr">
        <is>
          <t>10pcs Loaf</t>
        </is>
      </c>
      <c r="H5" s="4" t="n">
        <v>12</v>
      </c>
      <c r="I5" s="4" t="n">
        <v>10</v>
      </c>
      <c r="J5">
        <f>H5*I5</f>
        <v/>
      </c>
      <c r="K5" t="n">
        <v>15.5</v>
      </c>
      <c r="L5" t="n">
        <v>186</v>
      </c>
    </row>
    <row r="6">
      <c r="A6" t="inlineStr">
        <is>
          <t>2026-05</t>
        </is>
      </c>
      <c r="B6" t="inlineStr">
        <is>
          <t>2026-05-11</t>
        </is>
      </c>
      <c r="C6" t="inlineStr">
        <is>
          <t>CC-CC003-0060</t>
        </is>
      </c>
      <c r="D6" t="inlineStr">
        <is>
          <t>TAM</t>
        </is>
      </c>
      <c r="E6" t="inlineStr">
        <is>
          <t>Country Bread</t>
        </is>
      </c>
      <c r="F6" t="inlineStr">
        <is>
          <t>Brioche Sandwich</t>
        </is>
      </c>
      <c r="G6" t="inlineStr">
        <is>
          <t>10pcs Loaf</t>
        </is>
      </c>
      <c r="H6" s="4" t="n">
        <v>24</v>
      </c>
      <c r="I6" s="4" t="n">
        <v>10</v>
      </c>
      <c r="J6">
        <f>H6*I6</f>
        <v/>
      </c>
      <c r="K6" t="n">
        <v>15.5</v>
      </c>
      <c r="L6" t="n">
        <v>372</v>
      </c>
    </row>
    <row r="7">
      <c r="A7" t="inlineStr">
        <is>
          <t>2026-05</t>
        </is>
      </c>
      <c r="B7" t="inlineStr">
        <is>
          <t>2026-05-11</t>
        </is>
      </c>
      <c r="C7" t="inlineStr">
        <is>
          <t>CC-CC003-0061</t>
        </is>
      </c>
      <c r="D7" t="inlineStr">
        <is>
          <t>TAM</t>
        </is>
      </c>
      <c r="E7" t="inlineStr">
        <is>
          <t>Country Bread</t>
        </is>
      </c>
      <c r="F7" t="inlineStr">
        <is>
          <t>Brioche Sandwich</t>
        </is>
      </c>
      <c r="G7" t="inlineStr">
        <is>
          <t>10pcs Loaf</t>
        </is>
      </c>
      <c r="H7" s="4" t="n">
        <v>15</v>
      </c>
      <c r="I7" s="4" t="n">
        <v>10</v>
      </c>
      <c r="J7">
        <f>H7*I7</f>
        <v/>
      </c>
      <c r="K7" t="n">
        <v>15.5</v>
      </c>
      <c r="L7" t="n">
        <v>232.5</v>
      </c>
    </row>
    <row r="8">
      <c r="A8" t="inlineStr">
        <is>
          <t>2026-05</t>
        </is>
      </c>
      <c r="B8" t="inlineStr">
        <is>
          <t>2026-05-11</t>
        </is>
      </c>
      <c r="C8" t="inlineStr">
        <is>
          <t>CC-CC002-0090</t>
        </is>
      </c>
      <c r="D8" t="inlineStr">
        <is>
          <t>SA</t>
        </is>
      </c>
      <c r="E8" t="inlineStr">
        <is>
          <t>Country Bread</t>
        </is>
      </c>
      <c r="F8" t="inlineStr">
        <is>
          <t>Brioche Sandwich</t>
        </is>
      </c>
      <c r="G8" t="inlineStr">
        <is>
          <t>10pcs Loaf</t>
        </is>
      </c>
      <c r="H8" s="4" t="n">
        <v>12</v>
      </c>
      <c r="I8" s="4" t="n">
        <v>10</v>
      </c>
      <c r="J8">
        <f>H8*I8</f>
        <v/>
      </c>
      <c r="K8" t="n">
        <v>15.5</v>
      </c>
      <c r="L8" t="n">
        <v>186</v>
      </c>
    </row>
    <row r="9">
      <c r="A9" t="inlineStr">
        <is>
          <t>2026-05</t>
        </is>
      </c>
      <c r="B9" t="inlineStr">
        <is>
          <t>2026-05-11</t>
        </is>
      </c>
      <c r="C9" t="inlineStr">
        <is>
          <t>CC-CC003-0062</t>
        </is>
      </c>
      <c r="D9" t="inlineStr">
        <is>
          <t>TAM</t>
        </is>
      </c>
      <c r="E9" t="inlineStr">
        <is>
          <t>Country Bread</t>
        </is>
      </c>
      <c r="F9" t="inlineStr">
        <is>
          <t>Brioche Sandwich</t>
        </is>
      </c>
      <c r="G9" t="inlineStr">
        <is>
          <t>10pcs Loaf</t>
        </is>
      </c>
      <c r="H9" s="4" t="n">
        <v>12</v>
      </c>
      <c r="I9" s="4" t="n">
        <v>10</v>
      </c>
      <c r="J9">
        <f>H9*I9</f>
        <v/>
      </c>
      <c r="K9" t="n">
        <v>15.5</v>
      </c>
      <c r="L9" t="n">
        <v>186</v>
      </c>
    </row>
    <row r="10">
      <c r="A10" t="inlineStr">
        <is>
          <t>2026-05</t>
        </is>
      </c>
      <c r="B10" t="inlineStr">
        <is>
          <t>2026-05-11</t>
        </is>
      </c>
      <c r="C10" t="inlineStr">
        <is>
          <t>CC-CC003-0063</t>
        </is>
      </c>
      <c r="D10" t="inlineStr">
        <is>
          <t>TAM</t>
        </is>
      </c>
      <c r="E10" t="inlineStr">
        <is>
          <t>Country Bread</t>
        </is>
      </c>
      <c r="F10" t="inlineStr">
        <is>
          <t>Brioche Sandwich</t>
        </is>
      </c>
      <c r="G10" t="inlineStr">
        <is>
          <t>10pcs Loaf</t>
        </is>
      </c>
      <c r="H10" s="4" t="n">
        <v>14</v>
      </c>
      <c r="I10" s="4" t="n">
        <v>10</v>
      </c>
      <c r="J10">
        <f>H10*I10</f>
        <v/>
      </c>
      <c r="K10" t="n">
        <v>15.5</v>
      </c>
      <c r="L10" t="n">
        <v>217</v>
      </c>
    </row>
    <row r="11">
      <c r="A11" t="inlineStr">
        <is>
          <t>2026-05</t>
        </is>
      </c>
      <c r="B11" t="inlineStr">
        <is>
          <t>2026-05-11</t>
        </is>
      </c>
      <c r="C11" t="inlineStr">
        <is>
          <t>CC-CC003-0064</t>
        </is>
      </c>
      <c r="D11" t="inlineStr">
        <is>
          <t>TAM</t>
        </is>
      </c>
      <c r="E11" t="inlineStr">
        <is>
          <t>Country Bread</t>
        </is>
      </c>
      <c r="F11" t="inlineStr">
        <is>
          <t>Brioche Sandwich</t>
        </is>
      </c>
      <c r="G11" t="inlineStr">
        <is>
          <t>10pcs Loaf</t>
        </is>
      </c>
      <c r="H11" s="4" t="n">
        <v>24</v>
      </c>
      <c r="I11" s="4" t="n">
        <v>10</v>
      </c>
      <c r="J11">
        <f>H11*I11</f>
        <v/>
      </c>
      <c r="K11" t="n">
        <v>15.5</v>
      </c>
      <c r="L11" t="n">
        <v>372</v>
      </c>
    </row>
    <row r="12">
      <c r="A12" t="inlineStr">
        <is>
          <t>2026-06</t>
        </is>
      </c>
      <c r="B12" t="inlineStr">
        <is>
          <t>2026-06-17</t>
        </is>
      </c>
      <c r="C12" t="inlineStr">
        <is>
          <t>CC-CC001-0217</t>
        </is>
      </c>
      <c r="D12" t="inlineStr">
        <is>
          <t>PJ</t>
        </is>
      </c>
      <c r="E12" t="inlineStr">
        <is>
          <t>Country Bread</t>
        </is>
      </c>
      <c r="F12" t="inlineStr">
        <is>
          <t>Brioche Sandwich</t>
        </is>
      </c>
      <c r="G12" t="inlineStr">
        <is>
          <t>10pcs Loaf</t>
        </is>
      </c>
      <c r="H12" s="4" t="n">
        <v>174</v>
      </c>
      <c r="I12" s="4" t="n">
        <v>10</v>
      </c>
      <c r="J12">
        <f>H12*I12</f>
        <v/>
      </c>
      <c r="K12" t="n">
        <v>16.19</v>
      </c>
      <c r="L12" t="n">
        <v>2817</v>
      </c>
    </row>
    <row r="13">
      <c r="A13" t="inlineStr">
        <is>
          <t>2026-06</t>
        </is>
      </c>
      <c r="B13" t="inlineStr">
        <is>
          <t>2026-06-17</t>
        </is>
      </c>
      <c r="C13" t="inlineStr">
        <is>
          <t>CC-CC003-0141</t>
        </is>
      </c>
      <c r="D13" t="inlineStr">
        <is>
          <t>TAM</t>
        </is>
      </c>
      <c r="E13" t="inlineStr">
        <is>
          <t>Country Bread</t>
        </is>
      </c>
      <c r="F13" t="inlineStr">
        <is>
          <t>Brioche Sandwich</t>
        </is>
      </c>
      <c r="G13" t="inlineStr">
        <is>
          <t>10pcs Loaf</t>
        </is>
      </c>
      <c r="H13" s="4" t="n">
        <v>71</v>
      </c>
      <c r="I13" s="4" t="n">
        <v>10</v>
      </c>
      <c r="J13">
        <f>H13*I13</f>
        <v/>
      </c>
      <c r="K13" t="n">
        <v>16.63</v>
      </c>
      <c r="L13" t="n">
        <v>1180.5</v>
      </c>
    </row>
    <row r="14">
      <c r="A14" t="inlineStr">
        <is>
          <t>2026-06</t>
        </is>
      </c>
      <c r="B14" t="inlineStr">
        <is>
          <t>2026-06-17</t>
        </is>
      </c>
      <c r="C14" t="inlineStr">
        <is>
          <t>CC-CC002-0202</t>
        </is>
      </c>
      <c r="D14" t="inlineStr">
        <is>
          <t>SA</t>
        </is>
      </c>
      <c r="E14" t="inlineStr">
        <is>
          <t>Country Bread</t>
        </is>
      </c>
      <c r="F14" t="inlineStr">
        <is>
          <t>Brioche Sandwich</t>
        </is>
      </c>
      <c r="G14" t="inlineStr">
        <is>
          <t>10pcs Loaf</t>
        </is>
      </c>
      <c r="H14" s="4" t="n">
        <v>78</v>
      </c>
      <c r="I14" s="4" t="n">
        <v>10</v>
      </c>
      <c r="J14">
        <f>H14*I14</f>
        <v/>
      </c>
      <c r="K14" t="n">
        <v>16.27</v>
      </c>
      <c r="L14" t="n">
        <v>1269</v>
      </c>
    </row>
    <row r="15">
      <c r="A15" t="inlineStr">
        <is>
          <t>2026-06</t>
        </is>
      </c>
      <c r="B15" t="inlineStr">
        <is>
          <t>2026-06-30</t>
        </is>
      </c>
      <c r="C15" t="inlineStr">
        <is>
          <t>CC-CC001-0247</t>
        </is>
      </c>
      <c r="D15" t="inlineStr">
        <is>
          <t>PJ</t>
        </is>
      </c>
      <c r="E15" t="inlineStr">
        <is>
          <t>Country Bread</t>
        </is>
      </c>
      <c r="F15" t="inlineStr">
        <is>
          <t>Brioche Sandwich</t>
        </is>
      </c>
      <c r="G15" t="inlineStr">
        <is>
          <t>10pcs Loaf</t>
        </is>
      </c>
      <c r="H15" s="4" t="n">
        <v>153</v>
      </c>
      <c r="I15" s="4" t="n">
        <v>10</v>
      </c>
      <c r="J15">
        <f>H15*I15</f>
        <v/>
      </c>
      <c r="K15" t="n">
        <v>15.95</v>
      </c>
      <c r="L15" t="n">
        <v>2441</v>
      </c>
    </row>
    <row r="16">
      <c r="A16" t="inlineStr">
        <is>
          <t>2026-06</t>
        </is>
      </c>
      <c r="B16" t="inlineStr">
        <is>
          <t>2026-06-30</t>
        </is>
      </c>
      <c r="C16" t="inlineStr">
        <is>
          <t>CC-CC002-0234</t>
        </is>
      </c>
      <c r="D16" t="inlineStr">
        <is>
          <t>SA</t>
        </is>
      </c>
      <c r="E16" t="inlineStr">
        <is>
          <t>Country Bread</t>
        </is>
      </c>
      <c r="F16" t="inlineStr">
        <is>
          <t>Brioche Sandwich</t>
        </is>
      </c>
      <c r="G16" t="inlineStr">
        <is>
          <t>10pcs Loaf</t>
        </is>
      </c>
      <c r="H16" s="4" t="n">
        <v>73</v>
      </c>
      <c r="I16" s="4" t="n">
        <v>10</v>
      </c>
      <c r="J16">
        <f>H16*I16</f>
        <v/>
      </c>
      <c r="K16" t="n">
        <v>16.05</v>
      </c>
      <c r="L16" t="n">
        <v>1171.5</v>
      </c>
    </row>
    <row r="17">
      <c r="A17" t="inlineStr">
        <is>
          <t>2026-06</t>
        </is>
      </c>
      <c r="B17" t="inlineStr">
        <is>
          <t>2026-06-30</t>
        </is>
      </c>
      <c r="C17" t="inlineStr">
        <is>
          <t>CC-CC003-0160</t>
        </is>
      </c>
      <c r="D17" t="inlineStr">
        <is>
          <t>TAM</t>
        </is>
      </c>
      <c r="E17" t="inlineStr">
        <is>
          <t>Country Bread</t>
        </is>
      </c>
      <c r="F17" t="inlineStr">
        <is>
          <t>Brioche Sandwich</t>
        </is>
      </c>
      <c r="G17" t="inlineStr">
        <is>
          <t>10pcs Loaf</t>
        </is>
      </c>
      <c r="H17" s="4" t="n">
        <v>64</v>
      </c>
      <c r="I17" s="4" t="n">
        <v>10</v>
      </c>
      <c r="J17">
        <f>H17*I17</f>
        <v/>
      </c>
      <c r="K17" t="n">
        <v>16.44</v>
      </c>
      <c r="L17" t="n">
        <v>1052</v>
      </c>
    </row>
    <row r="18">
      <c r="A18" t="inlineStr">
        <is>
          <t>2026-07</t>
        </is>
      </c>
      <c r="B18" t="inlineStr">
        <is>
          <t>2026-07-17</t>
        </is>
      </c>
      <c r="C18" t="inlineStr">
        <is>
          <t>CC-CC001-0301</t>
        </is>
      </c>
      <c r="D18" t="inlineStr">
        <is>
          <t>PJ</t>
        </is>
      </c>
      <c r="E18" t="inlineStr">
        <is>
          <t>Blancoz</t>
        </is>
      </c>
      <c r="F18" t="inlineStr">
        <is>
          <t>Brioche Sandwich</t>
        </is>
      </c>
      <c r="G18" t="inlineStr">
        <is>
          <t>(no pkg)</t>
        </is>
      </c>
      <c r="H18" s="4" t="n">
        <v>10</v>
      </c>
      <c r="I18" s="4" t="n">
        <v>1</v>
      </c>
      <c r="J18">
        <f>H18*I18</f>
        <v/>
      </c>
      <c r="K18" t="n">
        <v>5.9</v>
      </c>
      <c r="L18" t="n">
        <v>59</v>
      </c>
    </row>
    <row r="19">
      <c r="A19" t="inlineStr">
        <is>
          <t>2026-07</t>
        </is>
      </c>
      <c r="B19" t="inlineStr">
        <is>
          <t>2026-07-17</t>
        </is>
      </c>
      <c r="C19" t="inlineStr">
        <is>
          <t>CC-CC002-0291</t>
        </is>
      </c>
      <c r="D19" t="inlineStr">
        <is>
          <t>SA</t>
        </is>
      </c>
      <c r="E19" t="inlineStr">
        <is>
          <t>Blancoz</t>
        </is>
      </c>
      <c r="F19" t="inlineStr">
        <is>
          <t>Brioche Sandwich</t>
        </is>
      </c>
      <c r="G19" t="inlineStr">
        <is>
          <t>(no pkg)</t>
        </is>
      </c>
      <c r="H19" s="4" t="n">
        <v>10</v>
      </c>
      <c r="I19" s="4" t="n">
        <v>1</v>
      </c>
      <c r="J19">
        <f>H19*I19</f>
        <v/>
      </c>
      <c r="K19" t="n">
        <v>5.9</v>
      </c>
      <c r="L19" t="n">
        <v>59</v>
      </c>
    </row>
    <row r="20">
      <c r="A20" t="inlineStr">
        <is>
          <t>2026-07</t>
        </is>
      </c>
      <c r="B20" t="inlineStr">
        <is>
          <t>2026-07-17</t>
        </is>
      </c>
      <c r="C20" t="inlineStr">
        <is>
          <t>CC-CC003-0202</t>
        </is>
      </c>
      <c r="D20" t="inlineStr">
        <is>
          <t>TAM</t>
        </is>
      </c>
      <c r="E20" t="inlineStr">
        <is>
          <t>Blancoz</t>
        </is>
      </c>
      <c r="F20" t="inlineStr">
        <is>
          <t>Brioche Sandwich</t>
        </is>
      </c>
      <c r="G20" t="inlineStr">
        <is>
          <t>(no pkg)</t>
        </is>
      </c>
      <c r="H20" s="4" t="n">
        <v>13</v>
      </c>
      <c r="I20" s="4" t="n">
        <v>1</v>
      </c>
      <c r="J20">
        <f>H20*I20</f>
        <v/>
      </c>
      <c r="K20" t="n">
        <v>5.9</v>
      </c>
      <c r="L20" t="n">
        <v>76.7</v>
      </c>
    </row>
    <row r="21">
      <c r="A21" t="inlineStr">
        <is>
          <t>2026-07</t>
        </is>
      </c>
      <c r="B21" t="inlineStr">
        <is>
          <t>2026-07-22</t>
        </is>
      </c>
      <c r="C21" t="inlineStr">
        <is>
          <t>CC-CC001-0314</t>
        </is>
      </c>
      <c r="D21" t="inlineStr">
        <is>
          <t>PJ</t>
        </is>
      </c>
      <c r="E21" t="inlineStr">
        <is>
          <t>Blancoz</t>
        </is>
      </c>
      <c r="F21" t="inlineStr">
        <is>
          <t>Brioche Sandwich</t>
        </is>
      </c>
      <c r="G21" t="inlineStr">
        <is>
          <t>(no pkg)</t>
        </is>
      </c>
      <c r="H21" s="4" t="n">
        <v>20</v>
      </c>
      <c r="I21" s="4" t="n">
        <v>1</v>
      </c>
      <c r="J21">
        <f>H21*I21</f>
        <v/>
      </c>
      <c r="K21" t="n">
        <v>5.9</v>
      </c>
      <c r="L21" t="n">
        <v>118</v>
      </c>
    </row>
    <row r="22">
      <c r="A22" t="inlineStr">
        <is>
          <t>2026-07</t>
        </is>
      </c>
      <c r="B22" t="inlineStr">
        <is>
          <t>2026-07-22</t>
        </is>
      </c>
      <c r="C22" t="inlineStr">
        <is>
          <t>CC-CC002-0300</t>
        </is>
      </c>
      <c r="D22" t="inlineStr">
        <is>
          <t>SA</t>
        </is>
      </c>
      <c r="E22" t="inlineStr">
        <is>
          <t>Blancoz</t>
        </is>
      </c>
      <c r="F22" t="inlineStr">
        <is>
          <t>Brioche Sandwich</t>
        </is>
      </c>
      <c r="G22" t="inlineStr">
        <is>
          <t>(no pkg)</t>
        </is>
      </c>
      <c r="H22" s="4" t="n">
        <v>20</v>
      </c>
      <c r="I22" s="4" t="n">
        <v>1</v>
      </c>
      <c r="J22">
        <f>H22*I22</f>
        <v/>
      </c>
      <c r="K22" t="n">
        <v>5.9</v>
      </c>
      <c r="L22" t="n">
        <v>118</v>
      </c>
    </row>
    <row r="23">
      <c r="A23" t="inlineStr">
        <is>
          <t>2026-07</t>
        </is>
      </c>
      <c r="B23" t="inlineStr">
        <is>
          <t>2026-07-22</t>
        </is>
      </c>
      <c r="C23" t="inlineStr">
        <is>
          <t>CC-CC003-0205</t>
        </is>
      </c>
      <c r="D23" t="inlineStr">
        <is>
          <t>TAM</t>
        </is>
      </c>
      <c r="E23" t="inlineStr">
        <is>
          <t>Blancoz</t>
        </is>
      </c>
      <c r="F23" t="inlineStr">
        <is>
          <t>Brioche Sandwich</t>
        </is>
      </c>
      <c r="G23" t="inlineStr">
        <is>
          <t>(no pkg)</t>
        </is>
      </c>
      <c r="H23" s="4" t="n">
        <v>8</v>
      </c>
      <c r="I23" s="4" t="n">
        <v>1</v>
      </c>
      <c r="J23">
        <f>H23*I23</f>
        <v/>
      </c>
      <c r="K23" t="n">
        <v>5.9</v>
      </c>
      <c r="L23" t="n">
        <v>47.2</v>
      </c>
    </row>
    <row r="24">
      <c r="A24" t="inlineStr">
        <is>
          <t>2026-07</t>
        </is>
      </c>
      <c r="B24" t="inlineStr">
        <is>
          <t>2026-07-26</t>
        </is>
      </c>
      <c r="C24" t="inlineStr">
        <is>
          <t>CC-CC001-0327</t>
        </is>
      </c>
      <c r="D24" t="inlineStr">
        <is>
          <t>PJ</t>
        </is>
      </c>
      <c r="E24" t="inlineStr">
        <is>
          <t>Blancoz</t>
        </is>
      </c>
      <c r="F24" t="inlineStr">
        <is>
          <t>Brioche Sandwich</t>
        </is>
      </c>
      <c r="G24" t="inlineStr">
        <is>
          <t>(no pkg)</t>
        </is>
      </c>
      <c r="H24" s="4" t="n">
        <v>10</v>
      </c>
      <c r="I24" s="4" t="n">
        <v>1</v>
      </c>
      <c r="J24">
        <f>H24*I24</f>
        <v/>
      </c>
      <c r="K24" t="n">
        <v>5.9</v>
      </c>
      <c r="L24" t="n">
        <v>59</v>
      </c>
    </row>
    <row r="25">
      <c r="A25" t="inlineStr">
        <is>
          <t>2026-07</t>
        </is>
      </c>
      <c r="B25" t="inlineStr">
        <is>
          <t>2026-07-26</t>
        </is>
      </c>
      <c r="C25" t="inlineStr">
        <is>
          <t>CC-CC002-0317</t>
        </is>
      </c>
      <c r="D25" t="inlineStr">
        <is>
          <t>SA</t>
        </is>
      </c>
      <c r="E25" t="inlineStr">
        <is>
          <t>Blancoz</t>
        </is>
      </c>
      <c r="F25" t="inlineStr">
        <is>
          <t>Brioche Sandwich</t>
        </is>
      </c>
      <c r="G25" t="inlineStr">
        <is>
          <t>(no pkg)</t>
        </is>
      </c>
      <c r="H25" s="4" t="n">
        <v>10</v>
      </c>
      <c r="I25" s="4" t="n">
        <v>1</v>
      </c>
      <c r="J25">
        <f>H25*I25</f>
        <v/>
      </c>
      <c r="K25" t="n">
        <v>5.9</v>
      </c>
      <c r="L25" t="n">
        <v>59</v>
      </c>
    </row>
    <row r="26">
      <c r="A26" t="inlineStr">
        <is>
          <t>2026-04</t>
        </is>
      </c>
      <c r="B26" t="inlineStr">
        <is>
          <t>2026-04-16</t>
        </is>
      </c>
      <c r="C26" t="inlineStr">
        <is>
          <t>CC-CC001-0016</t>
        </is>
      </c>
      <c r="D26" t="inlineStr">
        <is>
          <t>PJ</t>
        </is>
      </c>
      <c r="E26" t="inlineStr">
        <is>
          <t>Blancoz</t>
        </is>
      </c>
      <c r="F26" t="inlineStr">
        <is>
          <t>Burnt Cheesecake</t>
        </is>
      </c>
      <c r="G26" t="inlineStr">
        <is>
          <t>1 Cake (12 slices)</t>
        </is>
      </c>
      <c r="H26" s="4" t="n">
        <v>2</v>
      </c>
      <c r="I26" s="4" t="n">
        <v>12</v>
      </c>
      <c r="J26">
        <f>H26*I26</f>
        <v/>
      </c>
      <c r="K26" t="n">
        <v>100</v>
      </c>
      <c r="L26" t="n">
        <v>200</v>
      </c>
    </row>
    <row r="27">
      <c r="A27" t="inlineStr">
        <is>
          <t>2026-04</t>
        </is>
      </c>
      <c r="B27" t="inlineStr">
        <is>
          <t>2026-04-16</t>
        </is>
      </c>
      <c r="C27" t="inlineStr">
        <is>
          <t>CC-CC003-0006</t>
        </is>
      </c>
      <c r="D27" t="inlineStr">
        <is>
          <t>TAM</t>
        </is>
      </c>
      <c r="E27" t="inlineStr">
        <is>
          <t>Blancoz</t>
        </is>
      </c>
      <c r="F27" t="inlineStr">
        <is>
          <t>Burnt Cheesecake</t>
        </is>
      </c>
      <c r="G27" t="inlineStr">
        <is>
          <t>1 Cake (12 slices)</t>
        </is>
      </c>
      <c r="H27" s="4" t="n">
        <v>2</v>
      </c>
      <c r="I27" s="4" t="n">
        <v>12</v>
      </c>
      <c r="J27">
        <f>H27*I27</f>
        <v/>
      </c>
      <c r="K27" t="n">
        <v>100</v>
      </c>
      <c r="L27" t="n">
        <v>200</v>
      </c>
    </row>
    <row r="28">
      <c r="A28" t="inlineStr">
        <is>
          <t>2026-04</t>
        </is>
      </c>
      <c r="B28" t="inlineStr">
        <is>
          <t>2026-04-19</t>
        </is>
      </c>
      <c r="C28" t="inlineStr">
        <is>
          <t>CC-CC002-0018</t>
        </is>
      </c>
      <c r="D28" t="inlineStr">
        <is>
          <t>SA</t>
        </is>
      </c>
      <c r="E28" t="inlineStr">
        <is>
          <t>Blancoz</t>
        </is>
      </c>
      <c r="F28" t="inlineStr">
        <is>
          <t>Burnt Cheesecake</t>
        </is>
      </c>
      <c r="G28" t="inlineStr">
        <is>
          <t>1 Cake (12 slices)</t>
        </is>
      </c>
      <c r="H28" s="4" t="n">
        <v>2</v>
      </c>
      <c r="I28" s="4" t="n">
        <v>12</v>
      </c>
      <c r="J28">
        <f>H28*I28</f>
        <v/>
      </c>
      <c r="K28" t="n">
        <v>100</v>
      </c>
      <c r="L28" t="n">
        <v>200</v>
      </c>
    </row>
    <row r="29">
      <c r="A29" t="inlineStr">
        <is>
          <t>2026-04</t>
        </is>
      </c>
      <c r="B29" t="inlineStr">
        <is>
          <t>2026-04-19</t>
        </is>
      </c>
      <c r="C29" t="inlineStr">
        <is>
          <t>CC-CC001-0021</t>
        </is>
      </c>
      <c r="D29" t="inlineStr">
        <is>
          <t>PJ</t>
        </is>
      </c>
      <c r="E29" t="inlineStr">
        <is>
          <t>Blancoz</t>
        </is>
      </c>
      <c r="F29" t="inlineStr">
        <is>
          <t>Burnt Cheesecake</t>
        </is>
      </c>
      <c r="G29" t="inlineStr">
        <is>
          <t>1 Cake (12 slices)</t>
        </is>
      </c>
      <c r="H29" s="4" t="n">
        <v>2</v>
      </c>
      <c r="I29" s="4" t="n">
        <v>12</v>
      </c>
      <c r="J29">
        <f>H29*I29</f>
        <v/>
      </c>
      <c r="K29" t="n">
        <v>100</v>
      </c>
      <c r="L29" t="n">
        <v>200</v>
      </c>
    </row>
    <row r="30">
      <c r="A30" t="inlineStr">
        <is>
          <t>2026-04</t>
        </is>
      </c>
      <c r="B30" t="inlineStr">
        <is>
          <t>2026-04-19</t>
        </is>
      </c>
      <c r="C30" t="inlineStr">
        <is>
          <t>CC-CC003-0010</t>
        </is>
      </c>
      <c r="D30" t="inlineStr">
        <is>
          <t>TAM</t>
        </is>
      </c>
      <c r="E30" t="inlineStr">
        <is>
          <t>Blancoz</t>
        </is>
      </c>
      <c r="F30" t="inlineStr">
        <is>
          <t>Burnt Cheesecake</t>
        </is>
      </c>
      <c r="G30" t="inlineStr">
        <is>
          <t>1 Cake (12 slices)</t>
        </is>
      </c>
      <c r="H30" s="4" t="n">
        <v>2</v>
      </c>
      <c r="I30" s="4" t="n">
        <v>12</v>
      </c>
      <c r="J30">
        <f>H30*I30</f>
        <v/>
      </c>
      <c r="K30" t="n">
        <v>100</v>
      </c>
      <c r="L30" t="n">
        <v>200</v>
      </c>
    </row>
    <row r="31">
      <c r="A31" t="inlineStr">
        <is>
          <t>2026-04</t>
        </is>
      </c>
      <c r="B31" t="inlineStr">
        <is>
          <t>2026-04-27</t>
        </is>
      </c>
      <c r="C31" t="inlineStr">
        <is>
          <t>CC-CC001-0037</t>
        </is>
      </c>
      <c r="D31" t="inlineStr">
        <is>
          <t>PJ</t>
        </is>
      </c>
      <c r="E31" t="inlineStr">
        <is>
          <t>Blancoz</t>
        </is>
      </c>
      <c r="F31" t="inlineStr">
        <is>
          <t>Burnt Cheesecake</t>
        </is>
      </c>
      <c r="G31" t="inlineStr">
        <is>
          <t>1 Cake (12 slices)</t>
        </is>
      </c>
      <c r="H31" s="4" t="n">
        <v>3</v>
      </c>
      <c r="I31" s="4" t="n">
        <v>12</v>
      </c>
      <c r="J31">
        <f>H31*I31</f>
        <v/>
      </c>
      <c r="K31" t="n">
        <v>100</v>
      </c>
      <c r="L31" t="n">
        <v>300</v>
      </c>
    </row>
    <row r="32">
      <c r="A32" t="inlineStr">
        <is>
          <t>2026-04</t>
        </is>
      </c>
      <c r="B32" t="inlineStr">
        <is>
          <t>2026-04-27</t>
        </is>
      </c>
      <c r="C32" t="inlineStr">
        <is>
          <t>CC-CC002-0032</t>
        </is>
      </c>
      <c r="D32" t="inlineStr">
        <is>
          <t>SA</t>
        </is>
      </c>
      <c r="E32" t="inlineStr">
        <is>
          <t>Blancoz</t>
        </is>
      </c>
      <c r="F32" t="inlineStr">
        <is>
          <t>Burnt Cheesecake</t>
        </is>
      </c>
      <c r="G32" t="inlineStr">
        <is>
          <t>1 Cake (12 slices)</t>
        </is>
      </c>
      <c r="H32" s="4" t="n">
        <v>3</v>
      </c>
      <c r="I32" s="4" t="n">
        <v>12</v>
      </c>
      <c r="J32">
        <f>H32*I32</f>
        <v/>
      </c>
      <c r="K32" t="n">
        <v>100</v>
      </c>
      <c r="L32" t="n">
        <v>300</v>
      </c>
    </row>
    <row r="33">
      <c r="A33" t="inlineStr">
        <is>
          <t>2026-04</t>
        </is>
      </c>
      <c r="B33" t="inlineStr">
        <is>
          <t>2026-04-27</t>
        </is>
      </c>
      <c r="C33" t="inlineStr">
        <is>
          <t>CC-CC003-0021</t>
        </is>
      </c>
      <c r="D33" t="inlineStr">
        <is>
          <t>TAM</t>
        </is>
      </c>
      <c r="E33" t="inlineStr">
        <is>
          <t>Blancoz</t>
        </is>
      </c>
      <c r="F33" t="inlineStr">
        <is>
          <t>Burnt Cheesecake</t>
        </is>
      </c>
      <c r="G33" t="inlineStr">
        <is>
          <t>1 Cake (12 slices)</t>
        </is>
      </c>
      <c r="H33" s="4" t="n">
        <v>2</v>
      </c>
      <c r="I33" s="4" t="n">
        <v>12</v>
      </c>
      <c r="J33">
        <f>H33*I33</f>
        <v/>
      </c>
      <c r="K33" t="n">
        <v>100</v>
      </c>
      <c r="L33" t="n">
        <v>200</v>
      </c>
    </row>
    <row r="34">
      <c r="A34" t="inlineStr">
        <is>
          <t>2026-05</t>
        </is>
      </c>
      <c r="B34" t="inlineStr">
        <is>
          <t>2026-05-04</t>
        </is>
      </c>
      <c r="C34" t="inlineStr">
        <is>
          <t>CC-CC003-0030</t>
        </is>
      </c>
      <c r="D34" t="inlineStr">
        <is>
          <t>TAM</t>
        </is>
      </c>
      <c r="E34" t="inlineStr">
        <is>
          <t>Blancoz</t>
        </is>
      </c>
      <c r="F34" t="inlineStr">
        <is>
          <t>Burnt Cheesecake</t>
        </is>
      </c>
      <c r="G34" t="inlineStr">
        <is>
          <t>1 Cake (12 slices)</t>
        </is>
      </c>
      <c r="H34" s="4" t="n">
        <v>2</v>
      </c>
      <c r="I34" s="4" t="n">
        <v>12</v>
      </c>
      <c r="J34">
        <f>H34*I34</f>
        <v/>
      </c>
      <c r="K34" t="n">
        <v>100</v>
      </c>
      <c r="L34" t="n">
        <v>200</v>
      </c>
    </row>
    <row r="35">
      <c r="A35" t="inlineStr">
        <is>
          <t>2026-05</t>
        </is>
      </c>
      <c r="B35" t="inlineStr">
        <is>
          <t>2026-05-04</t>
        </is>
      </c>
      <c r="C35" t="inlineStr">
        <is>
          <t>CC-CC001-0069</t>
        </is>
      </c>
      <c r="D35" t="inlineStr">
        <is>
          <t>PJ</t>
        </is>
      </c>
      <c r="E35" t="inlineStr">
        <is>
          <t>Blancoz</t>
        </is>
      </c>
      <c r="F35" t="inlineStr">
        <is>
          <t>Burnt Cheesecake</t>
        </is>
      </c>
      <c r="G35" t="inlineStr">
        <is>
          <t>1 Cake (12 slices)</t>
        </is>
      </c>
      <c r="H35" s="4" t="n">
        <v>3</v>
      </c>
      <c r="I35" s="4" t="n">
        <v>12</v>
      </c>
      <c r="J35">
        <f>H35*I35</f>
        <v/>
      </c>
      <c r="K35" t="n">
        <v>100</v>
      </c>
      <c r="L35" t="n">
        <v>300</v>
      </c>
    </row>
    <row r="36">
      <c r="A36" t="inlineStr">
        <is>
          <t>2026-05</t>
        </is>
      </c>
      <c r="B36" t="inlineStr">
        <is>
          <t>2026-05-04</t>
        </is>
      </c>
      <c r="C36" t="inlineStr">
        <is>
          <t>CC-CC002-0051</t>
        </is>
      </c>
      <c r="D36" t="inlineStr">
        <is>
          <t>SA</t>
        </is>
      </c>
      <c r="E36" t="inlineStr">
        <is>
          <t>Blancoz</t>
        </is>
      </c>
      <c r="F36" t="inlineStr">
        <is>
          <t>Burnt Cheesecake</t>
        </is>
      </c>
      <c r="G36" t="inlineStr">
        <is>
          <t>1 Cake (12 slices)</t>
        </is>
      </c>
      <c r="H36" s="4" t="n">
        <v>3</v>
      </c>
      <c r="I36" s="4" t="n">
        <v>12</v>
      </c>
      <c r="J36">
        <f>H36*I36</f>
        <v/>
      </c>
      <c r="K36" t="n">
        <v>100</v>
      </c>
      <c r="L36" t="n">
        <v>300</v>
      </c>
    </row>
    <row r="37">
      <c r="A37" t="inlineStr">
        <is>
          <t>2026-05</t>
        </is>
      </c>
      <c r="B37" t="inlineStr">
        <is>
          <t>2026-05-07</t>
        </is>
      </c>
      <c r="C37" t="inlineStr">
        <is>
          <t>CC-CC001-0085</t>
        </is>
      </c>
      <c r="D37" t="inlineStr">
        <is>
          <t>PJ</t>
        </is>
      </c>
      <c r="E37" t="inlineStr">
        <is>
          <t>Blancoz</t>
        </is>
      </c>
      <c r="F37" t="inlineStr">
        <is>
          <t>Burnt Cheesecake</t>
        </is>
      </c>
      <c r="G37" t="inlineStr">
        <is>
          <t>1 Cake (12 slices)</t>
        </is>
      </c>
      <c r="H37" s="4" t="n">
        <v>2</v>
      </c>
      <c r="I37" s="4" t="n">
        <v>12</v>
      </c>
      <c r="J37">
        <f>H37*I37</f>
        <v/>
      </c>
      <c r="K37" t="n">
        <v>100</v>
      </c>
      <c r="L37" t="n">
        <v>200</v>
      </c>
    </row>
    <row r="38">
      <c r="A38" t="inlineStr">
        <is>
          <t>2026-05</t>
        </is>
      </c>
      <c r="B38" t="inlineStr">
        <is>
          <t>2026-05-07</t>
        </is>
      </c>
      <c r="C38" t="inlineStr">
        <is>
          <t>CC-CC002-0066</t>
        </is>
      </c>
      <c r="D38" t="inlineStr">
        <is>
          <t>SA</t>
        </is>
      </c>
      <c r="E38" t="inlineStr">
        <is>
          <t>Blancoz</t>
        </is>
      </c>
      <c r="F38" t="inlineStr">
        <is>
          <t>Burnt Cheesecake</t>
        </is>
      </c>
      <c r="G38" t="inlineStr">
        <is>
          <t>1 Cake (12 slices)</t>
        </is>
      </c>
      <c r="H38" s="4" t="n">
        <v>2</v>
      </c>
      <c r="I38" s="4" t="n">
        <v>12</v>
      </c>
      <c r="J38">
        <f>H38*I38</f>
        <v/>
      </c>
      <c r="K38" t="n">
        <v>100</v>
      </c>
      <c r="L38" t="n">
        <v>200</v>
      </c>
    </row>
    <row r="39">
      <c r="A39" t="inlineStr">
        <is>
          <t>2026-05</t>
        </is>
      </c>
      <c r="B39" t="inlineStr">
        <is>
          <t>2026-05-10</t>
        </is>
      </c>
      <c r="C39" t="inlineStr">
        <is>
          <t>CC-CC003-0049</t>
        </is>
      </c>
      <c r="D39" t="inlineStr">
        <is>
          <t>TAM</t>
        </is>
      </c>
      <c r="E39" t="inlineStr">
        <is>
          <t>Blancoz</t>
        </is>
      </c>
      <c r="F39" t="inlineStr">
        <is>
          <t>Burnt Cheesecake</t>
        </is>
      </c>
      <c r="G39" t="inlineStr">
        <is>
          <t>1 Cake (12 slices)</t>
        </is>
      </c>
      <c r="H39" s="4" t="n">
        <v>2</v>
      </c>
      <c r="I39" s="4" t="n">
        <v>12</v>
      </c>
      <c r="J39">
        <f>H39*I39</f>
        <v/>
      </c>
      <c r="K39" t="n">
        <v>100</v>
      </c>
      <c r="L39" t="n">
        <v>200</v>
      </c>
    </row>
    <row r="40">
      <c r="A40" t="inlineStr">
        <is>
          <t>2026-05</t>
        </is>
      </c>
      <c r="B40" t="inlineStr">
        <is>
          <t>2026-05-10</t>
        </is>
      </c>
      <c r="C40" t="inlineStr">
        <is>
          <t>CC-CC001-0095</t>
        </is>
      </c>
      <c r="D40" t="inlineStr">
        <is>
          <t>PJ</t>
        </is>
      </c>
      <c r="E40" t="inlineStr">
        <is>
          <t>Blancoz</t>
        </is>
      </c>
      <c r="F40" t="inlineStr">
        <is>
          <t>Burnt Cheesecake</t>
        </is>
      </c>
      <c r="G40" t="inlineStr">
        <is>
          <t>1 Cake (12 slices)</t>
        </is>
      </c>
      <c r="H40" s="4" t="n">
        <v>2</v>
      </c>
      <c r="I40" s="4" t="n">
        <v>12</v>
      </c>
      <c r="J40">
        <f>H40*I40</f>
        <v/>
      </c>
      <c r="K40" t="n">
        <v>100</v>
      </c>
      <c r="L40" t="n">
        <v>200</v>
      </c>
    </row>
    <row r="41">
      <c r="A41" t="inlineStr">
        <is>
          <t>2026-05</t>
        </is>
      </c>
      <c r="B41" t="inlineStr">
        <is>
          <t>2026-05-10</t>
        </is>
      </c>
      <c r="C41" t="inlineStr">
        <is>
          <t>CC-CC002-0076</t>
        </is>
      </c>
      <c r="D41" t="inlineStr">
        <is>
          <t>SA</t>
        </is>
      </c>
      <c r="E41" t="inlineStr">
        <is>
          <t>Blancoz</t>
        </is>
      </c>
      <c r="F41" t="inlineStr">
        <is>
          <t>Burnt Cheesecake</t>
        </is>
      </c>
      <c r="G41" t="inlineStr">
        <is>
          <t>1 Cake (12 slices)</t>
        </is>
      </c>
      <c r="H41" s="4" t="n">
        <v>2</v>
      </c>
      <c r="I41" s="4" t="n">
        <v>12</v>
      </c>
      <c r="J41">
        <f>H41*I41</f>
        <v/>
      </c>
      <c r="K41" t="n">
        <v>100</v>
      </c>
      <c r="L41" t="n">
        <v>200</v>
      </c>
    </row>
    <row r="42">
      <c r="A42" t="inlineStr">
        <is>
          <t>2026-05</t>
        </is>
      </c>
      <c r="B42" t="inlineStr">
        <is>
          <t>2026-05-10</t>
        </is>
      </c>
      <c r="C42" t="inlineStr">
        <is>
          <t>CC-CC002-0084</t>
        </is>
      </c>
      <c r="D42" t="inlineStr">
        <is>
          <t>SA</t>
        </is>
      </c>
      <c r="E42" t="inlineStr">
        <is>
          <t>Blancoz</t>
        </is>
      </c>
      <c r="F42" t="inlineStr">
        <is>
          <t>Burnt Cheesecake</t>
        </is>
      </c>
      <c r="G42" t="inlineStr">
        <is>
          <t>1 Cake (12 slices)</t>
        </is>
      </c>
      <c r="H42" s="4" t="n">
        <v>3</v>
      </c>
      <c r="I42" s="4" t="n">
        <v>12</v>
      </c>
      <c r="J42">
        <f>H42*I42</f>
        <v/>
      </c>
      <c r="K42" t="n">
        <v>100</v>
      </c>
      <c r="L42" t="n">
        <v>300</v>
      </c>
    </row>
    <row r="43">
      <c r="A43" t="inlineStr">
        <is>
          <t>2026-05</t>
        </is>
      </c>
      <c r="B43" t="inlineStr">
        <is>
          <t>2026-05-10</t>
        </is>
      </c>
      <c r="C43" t="inlineStr">
        <is>
          <t>CC-CC003-0055</t>
        </is>
      </c>
      <c r="D43" t="inlineStr">
        <is>
          <t>TAM</t>
        </is>
      </c>
      <c r="E43" t="inlineStr">
        <is>
          <t>Blancoz</t>
        </is>
      </c>
      <c r="F43" t="inlineStr">
        <is>
          <t>Burnt Cheesecake</t>
        </is>
      </c>
      <c r="G43" t="inlineStr">
        <is>
          <t>1 Cake (12 slices)</t>
        </is>
      </c>
      <c r="H43" s="4" t="n">
        <v>2</v>
      </c>
      <c r="I43" s="4" t="n">
        <v>12</v>
      </c>
      <c r="J43">
        <f>H43*I43</f>
        <v/>
      </c>
      <c r="K43" t="n">
        <v>100</v>
      </c>
      <c r="L43" t="n">
        <v>200</v>
      </c>
    </row>
    <row r="44">
      <c r="A44" t="inlineStr">
        <is>
          <t>2026-05</t>
        </is>
      </c>
      <c r="B44" t="inlineStr">
        <is>
          <t>2026-05-10</t>
        </is>
      </c>
      <c r="C44" t="inlineStr">
        <is>
          <t>CC-CC001-0101</t>
        </is>
      </c>
      <c r="D44" t="inlineStr">
        <is>
          <t>PJ</t>
        </is>
      </c>
      <c r="E44" t="inlineStr">
        <is>
          <t>Blancoz</t>
        </is>
      </c>
      <c r="F44" t="inlineStr">
        <is>
          <t>Burnt Cheesecake</t>
        </is>
      </c>
      <c r="G44" t="inlineStr">
        <is>
          <t>1 Cake (12 slices)</t>
        </is>
      </c>
      <c r="H44" s="4" t="n">
        <v>2</v>
      </c>
      <c r="I44" s="4" t="n">
        <v>12</v>
      </c>
      <c r="J44">
        <f>H44*I44</f>
        <v/>
      </c>
      <c r="K44" t="n">
        <v>100</v>
      </c>
      <c r="L44" t="n">
        <v>200</v>
      </c>
    </row>
    <row r="45">
      <c r="A45" t="inlineStr">
        <is>
          <t>2026-05</t>
        </is>
      </c>
      <c r="B45" t="inlineStr">
        <is>
          <t>2026-05-17</t>
        </is>
      </c>
      <c r="C45" t="inlineStr">
        <is>
          <t>CC-CC001-0131</t>
        </is>
      </c>
      <c r="D45" t="inlineStr">
        <is>
          <t>PJ</t>
        </is>
      </c>
      <c r="E45" t="inlineStr">
        <is>
          <t>Blancoz</t>
        </is>
      </c>
      <c r="F45" t="inlineStr">
        <is>
          <t>Burnt Cheesecake</t>
        </is>
      </c>
      <c r="G45" t="inlineStr">
        <is>
          <t>1 Cake (12 slices)</t>
        </is>
      </c>
      <c r="H45" s="4" t="n">
        <v>2</v>
      </c>
      <c r="I45" s="4" t="n">
        <v>12</v>
      </c>
      <c r="J45">
        <f>H45*I45</f>
        <v/>
      </c>
      <c r="K45" t="n">
        <v>100</v>
      </c>
      <c r="L45" t="n">
        <v>200</v>
      </c>
    </row>
    <row r="46">
      <c r="A46" t="inlineStr">
        <is>
          <t>2026-05</t>
        </is>
      </c>
      <c r="B46" t="inlineStr">
        <is>
          <t>2026-05-17</t>
        </is>
      </c>
      <c r="C46" t="inlineStr">
        <is>
          <t>CC-CC002-0116</t>
        </is>
      </c>
      <c r="D46" t="inlineStr">
        <is>
          <t>SA</t>
        </is>
      </c>
      <c r="E46" t="inlineStr">
        <is>
          <t>Blancoz</t>
        </is>
      </c>
      <c r="F46" t="inlineStr">
        <is>
          <t>Burnt Cheesecake</t>
        </is>
      </c>
      <c r="G46" t="inlineStr">
        <is>
          <t>1 Cake (12 slices)</t>
        </is>
      </c>
      <c r="H46" s="4" t="n">
        <v>2</v>
      </c>
      <c r="I46" s="4" t="n">
        <v>12</v>
      </c>
      <c r="J46">
        <f>H46*I46</f>
        <v/>
      </c>
      <c r="K46" t="n">
        <v>100</v>
      </c>
      <c r="L46" t="n">
        <v>200</v>
      </c>
    </row>
    <row r="47">
      <c r="A47" t="inlineStr">
        <is>
          <t>2026-05</t>
        </is>
      </c>
      <c r="B47" t="inlineStr">
        <is>
          <t>2026-05-17</t>
        </is>
      </c>
      <c r="C47" t="inlineStr">
        <is>
          <t>CC-CC003-0080</t>
        </is>
      </c>
      <c r="D47" t="inlineStr">
        <is>
          <t>TAM</t>
        </is>
      </c>
      <c r="E47" t="inlineStr">
        <is>
          <t>Blancoz</t>
        </is>
      </c>
      <c r="F47" t="inlineStr">
        <is>
          <t>Burnt Cheesecake</t>
        </is>
      </c>
      <c r="G47" t="inlineStr">
        <is>
          <t>1 Cake (12 slices)</t>
        </is>
      </c>
      <c r="H47" s="4" t="n">
        <v>2</v>
      </c>
      <c r="I47" s="4" t="n">
        <v>12</v>
      </c>
      <c r="J47">
        <f>H47*I47</f>
        <v/>
      </c>
      <c r="K47" t="n">
        <v>100</v>
      </c>
      <c r="L47" t="n">
        <v>200</v>
      </c>
    </row>
    <row r="48">
      <c r="A48" t="inlineStr">
        <is>
          <t>2026-05</t>
        </is>
      </c>
      <c r="B48" t="inlineStr">
        <is>
          <t>2026-05-24</t>
        </is>
      </c>
      <c r="C48" t="inlineStr">
        <is>
          <t>CC-CC002-0137</t>
        </is>
      </c>
      <c r="D48" t="inlineStr">
        <is>
          <t>SA</t>
        </is>
      </c>
      <c r="E48" t="inlineStr">
        <is>
          <t>Blancoz</t>
        </is>
      </c>
      <c r="F48" t="inlineStr">
        <is>
          <t>Burnt Cheesecake</t>
        </is>
      </c>
      <c r="G48" t="inlineStr">
        <is>
          <t>1 Cake (12 slices)</t>
        </is>
      </c>
      <c r="H48" s="4" t="n">
        <v>1</v>
      </c>
      <c r="I48" s="4" t="n">
        <v>12</v>
      </c>
      <c r="J48">
        <f>H48*I48</f>
        <v/>
      </c>
      <c r="K48" t="n">
        <v>100</v>
      </c>
      <c r="L48" t="n">
        <v>100</v>
      </c>
    </row>
    <row r="49">
      <c r="A49" t="inlineStr">
        <is>
          <t>2026-05</t>
        </is>
      </c>
      <c r="B49" t="inlineStr">
        <is>
          <t>2026-05-24</t>
        </is>
      </c>
      <c r="C49" t="inlineStr">
        <is>
          <t>CC-CC001-0147</t>
        </is>
      </c>
      <c r="D49" t="inlineStr">
        <is>
          <t>PJ</t>
        </is>
      </c>
      <c r="E49" t="inlineStr">
        <is>
          <t>Blancoz</t>
        </is>
      </c>
      <c r="F49" t="inlineStr">
        <is>
          <t>Burnt Cheesecake</t>
        </is>
      </c>
      <c r="G49" t="inlineStr">
        <is>
          <t>1 Cake (12 slices)</t>
        </is>
      </c>
      <c r="H49" s="4" t="n">
        <v>2</v>
      </c>
      <c r="I49" s="4" t="n">
        <v>12</v>
      </c>
      <c r="J49">
        <f>H49*I49</f>
        <v/>
      </c>
      <c r="K49" t="n">
        <v>100</v>
      </c>
      <c r="L49" t="n">
        <v>200</v>
      </c>
    </row>
    <row r="50">
      <c r="A50" t="inlineStr">
        <is>
          <t>2026-05</t>
        </is>
      </c>
      <c r="B50" t="inlineStr">
        <is>
          <t>2026-05-24</t>
        </is>
      </c>
      <c r="C50" t="inlineStr">
        <is>
          <t>CC-CC003-0098</t>
        </is>
      </c>
      <c r="D50" t="inlineStr">
        <is>
          <t>TAM</t>
        </is>
      </c>
      <c r="E50" t="inlineStr">
        <is>
          <t>Blancoz</t>
        </is>
      </c>
      <c r="F50" t="inlineStr">
        <is>
          <t>Burnt Cheesecake</t>
        </is>
      </c>
      <c r="G50" t="inlineStr">
        <is>
          <t>1 Cake (12 slices)</t>
        </is>
      </c>
      <c r="H50" s="4" t="n">
        <v>2</v>
      </c>
      <c r="I50" s="4" t="n">
        <v>12</v>
      </c>
      <c r="J50">
        <f>H50*I50</f>
        <v/>
      </c>
      <c r="K50" t="n">
        <v>100</v>
      </c>
      <c r="L50" t="n">
        <v>200</v>
      </c>
    </row>
    <row r="51">
      <c r="A51" t="inlineStr">
        <is>
          <t>2026-05</t>
        </is>
      </c>
      <c r="B51" t="inlineStr">
        <is>
          <t>2026-05-31</t>
        </is>
      </c>
      <c r="C51" t="inlineStr">
        <is>
          <t>CC-CC002-0155</t>
        </is>
      </c>
      <c r="D51" t="inlineStr">
        <is>
          <t>SA</t>
        </is>
      </c>
      <c r="E51" t="inlineStr">
        <is>
          <t>Blancoz</t>
        </is>
      </c>
      <c r="F51" t="inlineStr">
        <is>
          <t>Burnt Cheesecake</t>
        </is>
      </c>
      <c r="G51" t="inlineStr">
        <is>
          <t>1 Cake (12 slices)</t>
        </is>
      </c>
      <c r="H51" s="4" t="n">
        <v>2</v>
      </c>
      <c r="I51" s="4" t="n">
        <v>12</v>
      </c>
      <c r="J51">
        <f>H51*I51</f>
        <v/>
      </c>
      <c r="K51" t="n">
        <v>100</v>
      </c>
      <c r="L51" t="n">
        <v>200</v>
      </c>
    </row>
    <row r="52">
      <c r="A52" t="inlineStr">
        <is>
          <t>2026-05</t>
        </is>
      </c>
      <c r="B52" t="inlineStr">
        <is>
          <t>2026-05-31</t>
        </is>
      </c>
      <c r="C52" t="inlineStr">
        <is>
          <t>CC-CC001-0165</t>
        </is>
      </c>
      <c r="D52" t="inlineStr">
        <is>
          <t>PJ</t>
        </is>
      </c>
      <c r="E52" t="inlineStr">
        <is>
          <t>Blancoz</t>
        </is>
      </c>
      <c r="F52" t="inlineStr">
        <is>
          <t>Burnt Cheesecake</t>
        </is>
      </c>
      <c r="G52" t="inlineStr">
        <is>
          <t>1 Cake (12 slices)</t>
        </is>
      </c>
      <c r="H52" s="4" t="n">
        <v>2</v>
      </c>
      <c r="I52" s="4" t="n">
        <v>12</v>
      </c>
      <c r="J52">
        <f>H52*I52</f>
        <v/>
      </c>
      <c r="K52" t="n">
        <v>100</v>
      </c>
      <c r="L52" t="n">
        <v>200</v>
      </c>
    </row>
    <row r="53">
      <c r="A53" t="inlineStr">
        <is>
          <t>2026-06</t>
        </is>
      </c>
      <c r="B53" t="inlineStr">
        <is>
          <t>2026-06-07</t>
        </is>
      </c>
      <c r="C53" t="inlineStr">
        <is>
          <t>CC-CC001-0190</t>
        </is>
      </c>
      <c r="D53" t="inlineStr">
        <is>
          <t>PJ</t>
        </is>
      </c>
      <c r="E53" t="inlineStr">
        <is>
          <t>Blancoz</t>
        </is>
      </c>
      <c r="F53" t="inlineStr">
        <is>
          <t>Burnt Cheesecake</t>
        </is>
      </c>
      <c r="G53" t="inlineStr">
        <is>
          <t>1 Cake (12 slices)</t>
        </is>
      </c>
      <c r="H53" s="4" t="n">
        <v>2</v>
      </c>
      <c r="I53" s="4" t="n">
        <v>12</v>
      </c>
      <c r="J53">
        <f>H53*I53</f>
        <v/>
      </c>
      <c r="K53" t="n">
        <v>100</v>
      </c>
      <c r="L53" t="n">
        <v>200</v>
      </c>
    </row>
    <row r="54">
      <c r="A54" t="inlineStr">
        <is>
          <t>2026-06</t>
        </is>
      </c>
      <c r="B54" t="inlineStr">
        <is>
          <t>2026-06-07</t>
        </is>
      </c>
      <c r="C54" t="inlineStr">
        <is>
          <t>CC-CC002-0178</t>
        </is>
      </c>
      <c r="D54" t="inlineStr">
        <is>
          <t>SA</t>
        </is>
      </c>
      <c r="E54" t="inlineStr">
        <is>
          <t>Blancoz</t>
        </is>
      </c>
      <c r="F54" t="inlineStr">
        <is>
          <t>Burnt Cheesecake</t>
        </is>
      </c>
      <c r="G54" t="inlineStr">
        <is>
          <t>1 Cake (12 slices)</t>
        </is>
      </c>
      <c r="H54" s="4" t="n">
        <v>1</v>
      </c>
      <c r="I54" s="4" t="n">
        <v>12</v>
      </c>
      <c r="J54">
        <f>H54*I54</f>
        <v/>
      </c>
      <c r="K54" t="n">
        <v>100</v>
      </c>
      <c r="L54" t="n">
        <v>100</v>
      </c>
    </row>
    <row r="55">
      <c r="A55" t="inlineStr">
        <is>
          <t>2026-06</t>
        </is>
      </c>
      <c r="B55" t="inlineStr">
        <is>
          <t>2026-06-07</t>
        </is>
      </c>
      <c r="C55" t="inlineStr">
        <is>
          <t>CC-CC003-0130</t>
        </is>
      </c>
      <c r="D55" t="inlineStr">
        <is>
          <t>TAM</t>
        </is>
      </c>
      <c r="E55" t="inlineStr">
        <is>
          <t>Blancoz</t>
        </is>
      </c>
      <c r="F55" t="inlineStr">
        <is>
          <t>Burnt Cheesecake</t>
        </is>
      </c>
      <c r="G55" t="inlineStr">
        <is>
          <t>1 Cake (12 slices)</t>
        </is>
      </c>
      <c r="H55" s="4" t="n">
        <v>2</v>
      </c>
      <c r="I55" s="4" t="n">
        <v>12</v>
      </c>
      <c r="J55">
        <f>H55*I55</f>
        <v/>
      </c>
      <c r="K55" t="n">
        <v>100</v>
      </c>
      <c r="L55" t="n">
        <v>200</v>
      </c>
    </row>
    <row r="56">
      <c r="A56" t="inlineStr">
        <is>
          <t>2026-06</t>
        </is>
      </c>
      <c r="B56" t="inlineStr">
        <is>
          <t>2026-06-14</t>
        </is>
      </c>
      <c r="C56" t="inlineStr">
        <is>
          <t>CC-CC001-0205</t>
        </is>
      </c>
      <c r="D56" t="inlineStr">
        <is>
          <t>PJ</t>
        </is>
      </c>
      <c r="E56" t="inlineStr">
        <is>
          <t>Blancoz</t>
        </is>
      </c>
      <c r="F56" t="inlineStr">
        <is>
          <t>Burnt Cheesecake</t>
        </is>
      </c>
      <c r="G56" t="inlineStr">
        <is>
          <t>1 Cake (12 slices)</t>
        </is>
      </c>
      <c r="H56" s="4" t="n">
        <v>2</v>
      </c>
      <c r="I56" s="4" t="n">
        <v>12</v>
      </c>
      <c r="J56">
        <f>H56*I56</f>
        <v/>
      </c>
      <c r="K56" t="n">
        <v>100</v>
      </c>
      <c r="L56" t="n">
        <v>200</v>
      </c>
    </row>
    <row r="57">
      <c r="A57" t="inlineStr">
        <is>
          <t>2026-06</t>
        </is>
      </c>
      <c r="B57" t="inlineStr">
        <is>
          <t>2026-06-14</t>
        </is>
      </c>
      <c r="C57" t="inlineStr">
        <is>
          <t>CC-CC002-0190</t>
        </is>
      </c>
      <c r="D57" t="inlineStr">
        <is>
          <t>SA</t>
        </is>
      </c>
      <c r="E57" t="inlineStr">
        <is>
          <t>Blancoz</t>
        </is>
      </c>
      <c r="F57" t="inlineStr">
        <is>
          <t>Burnt Cheesecake</t>
        </is>
      </c>
      <c r="G57" t="inlineStr">
        <is>
          <t>1 Cake (12 slices)</t>
        </is>
      </c>
      <c r="H57" s="4" t="n">
        <v>1</v>
      </c>
      <c r="I57" s="4" t="n">
        <v>12</v>
      </c>
      <c r="J57">
        <f>H57*I57</f>
        <v/>
      </c>
      <c r="K57" t="n">
        <v>100</v>
      </c>
      <c r="L57" t="n">
        <v>100</v>
      </c>
    </row>
    <row r="58">
      <c r="A58" t="inlineStr">
        <is>
          <t>2026-06</t>
        </is>
      </c>
      <c r="B58" t="inlineStr">
        <is>
          <t>2026-06-14</t>
        </is>
      </c>
      <c r="C58" t="inlineStr">
        <is>
          <t>CC-CC003-0136</t>
        </is>
      </c>
      <c r="D58" t="inlineStr">
        <is>
          <t>TAM</t>
        </is>
      </c>
      <c r="E58" t="inlineStr">
        <is>
          <t>Blancoz</t>
        </is>
      </c>
      <c r="F58" t="inlineStr">
        <is>
          <t>Burnt Cheesecake</t>
        </is>
      </c>
      <c r="G58" t="inlineStr">
        <is>
          <t>1 Cake (12 slices)</t>
        </is>
      </c>
      <c r="H58" s="4" t="n">
        <v>1</v>
      </c>
      <c r="I58" s="4" t="n">
        <v>12</v>
      </c>
      <c r="J58">
        <f>H58*I58</f>
        <v/>
      </c>
      <c r="K58" t="n">
        <v>100</v>
      </c>
      <c r="L58" t="n">
        <v>100</v>
      </c>
    </row>
    <row r="59">
      <c r="A59" t="inlineStr">
        <is>
          <t>2026-06</t>
        </is>
      </c>
      <c r="B59" t="inlineStr">
        <is>
          <t>2026-06-18</t>
        </is>
      </c>
      <c r="C59" t="inlineStr">
        <is>
          <t>CC-CC002-0206</t>
        </is>
      </c>
      <c r="D59" t="inlineStr">
        <is>
          <t>SA</t>
        </is>
      </c>
      <c r="E59" t="inlineStr">
        <is>
          <t>Blancoz</t>
        </is>
      </c>
      <c r="F59" t="inlineStr">
        <is>
          <t>Burnt Cheesecake</t>
        </is>
      </c>
      <c r="G59" t="inlineStr">
        <is>
          <t>1 Cake (12 slices)</t>
        </is>
      </c>
      <c r="H59" s="4" t="n">
        <v>1</v>
      </c>
      <c r="I59" s="4" t="n">
        <v>12</v>
      </c>
      <c r="J59">
        <f>H59*I59</f>
        <v/>
      </c>
      <c r="K59" t="n">
        <v>100</v>
      </c>
      <c r="L59" t="n">
        <v>100</v>
      </c>
    </row>
    <row r="60">
      <c r="A60" t="inlineStr">
        <is>
          <t>2026-06</t>
        </is>
      </c>
      <c r="B60" t="inlineStr">
        <is>
          <t>2026-06-21</t>
        </is>
      </c>
      <c r="C60" t="inlineStr">
        <is>
          <t>CC-CC001-0224</t>
        </is>
      </c>
      <c r="D60" t="inlineStr">
        <is>
          <t>PJ</t>
        </is>
      </c>
      <c r="E60" t="inlineStr">
        <is>
          <t>Blancoz</t>
        </is>
      </c>
      <c r="F60" t="inlineStr">
        <is>
          <t>Burnt Cheesecake</t>
        </is>
      </c>
      <c r="G60" t="inlineStr">
        <is>
          <t>1 Cake (12 slices)</t>
        </is>
      </c>
      <c r="H60" s="4" t="n">
        <v>2</v>
      </c>
      <c r="I60" s="4" t="n">
        <v>12</v>
      </c>
      <c r="J60">
        <f>H60*I60</f>
        <v/>
      </c>
      <c r="K60" t="n">
        <v>100</v>
      </c>
      <c r="L60" t="n">
        <v>200</v>
      </c>
    </row>
    <row r="61">
      <c r="A61" t="inlineStr">
        <is>
          <t>2026-06</t>
        </is>
      </c>
      <c r="B61" t="inlineStr">
        <is>
          <t>2026-06-21</t>
        </is>
      </c>
      <c r="C61" t="inlineStr">
        <is>
          <t>CC-CC003-0145</t>
        </is>
      </c>
      <c r="D61" t="inlineStr">
        <is>
          <t>TAM</t>
        </is>
      </c>
      <c r="E61" t="inlineStr">
        <is>
          <t>Blancoz</t>
        </is>
      </c>
      <c r="F61" t="inlineStr">
        <is>
          <t>Burnt Cheesecake</t>
        </is>
      </c>
      <c r="G61" t="inlineStr">
        <is>
          <t>1 Cake (12 slices)</t>
        </is>
      </c>
      <c r="H61" s="4" t="n">
        <v>1</v>
      </c>
      <c r="I61" s="4" t="n">
        <v>12</v>
      </c>
      <c r="J61">
        <f>H61*I61</f>
        <v/>
      </c>
      <c r="K61" t="n">
        <v>100</v>
      </c>
      <c r="L61" t="n">
        <v>100</v>
      </c>
    </row>
    <row r="62">
      <c r="A62" t="inlineStr">
        <is>
          <t>2026-07</t>
        </is>
      </c>
      <c r="B62" t="inlineStr">
        <is>
          <t>2026-07-01</t>
        </is>
      </c>
      <c r="C62" t="inlineStr">
        <is>
          <t>CC-CC003-0166</t>
        </is>
      </c>
      <c r="D62" t="inlineStr">
        <is>
          <t>TAM</t>
        </is>
      </c>
      <c r="E62" t="inlineStr">
        <is>
          <t>Blancoz</t>
        </is>
      </c>
      <c r="F62" t="inlineStr">
        <is>
          <t>Burnt Cheesecake</t>
        </is>
      </c>
      <c r="G62" t="inlineStr">
        <is>
          <t>1 Cake (12 slices)</t>
        </is>
      </c>
      <c r="H62" s="4" t="n">
        <v>1</v>
      </c>
      <c r="I62" s="4" t="n">
        <v>12</v>
      </c>
      <c r="J62">
        <f>H62*I62</f>
        <v/>
      </c>
      <c r="K62" t="n">
        <v>100</v>
      </c>
      <c r="L62" t="n">
        <v>100</v>
      </c>
    </row>
    <row r="63">
      <c r="A63" t="inlineStr">
        <is>
          <t>2026-07</t>
        </is>
      </c>
      <c r="B63" t="inlineStr">
        <is>
          <t>2026-07-01</t>
        </is>
      </c>
      <c r="C63" t="inlineStr">
        <is>
          <t>CC-CC001-0252</t>
        </is>
      </c>
      <c r="D63" t="inlineStr">
        <is>
          <t>PJ</t>
        </is>
      </c>
      <c r="E63" t="inlineStr">
        <is>
          <t>Blancoz</t>
        </is>
      </c>
      <c r="F63" t="inlineStr">
        <is>
          <t>Burnt Cheesecake</t>
        </is>
      </c>
      <c r="G63" t="inlineStr">
        <is>
          <t>1 Cake (12 slices)</t>
        </is>
      </c>
      <c r="H63" s="4" t="n">
        <v>2</v>
      </c>
      <c r="I63" s="4" t="n">
        <v>12</v>
      </c>
      <c r="J63">
        <f>H63*I63</f>
        <v/>
      </c>
      <c r="K63" t="n">
        <v>100</v>
      </c>
      <c r="L63" t="n">
        <v>200</v>
      </c>
    </row>
    <row r="64">
      <c r="A64" t="inlineStr">
        <is>
          <t>2026-07</t>
        </is>
      </c>
      <c r="B64" t="inlineStr">
        <is>
          <t>2026-07-01</t>
        </is>
      </c>
      <c r="C64" t="inlineStr">
        <is>
          <t>CC-CC002-0240</t>
        </is>
      </c>
      <c r="D64" t="inlineStr">
        <is>
          <t>SA</t>
        </is>
      </c>
      <c r="E64" t="inlineStr">
        <is>
          <t>Blancoz</t>
        </is>
      </c>
      <c r="F64" t="inlineStr">
        <is>
          <t>Burnt Cheesecake</t>
        </is>
      </c>
      <c r="G64" t="inlineStr">
        <is>
          <t>1 Cake (12 slices)</t>
        </is>
      </c>
      <c r="H64" s="4" t="n">
        <v>1</v>
      </c>
      <c r="I64" s="4" t="n">
        <v>12</v>
      </c>
      <c r="J64">
        <f>H64*I64</f>
        <v/>
      </c>
      <c r="K64" t="n">
        <v>100</v>
      </c>
      <c r="L64" t="n">
        <v>100</v>
      </c>
    </row>
    <row r="65">
      <c r="A65" t="inlineStr">
        <is>
          <t>2026-07</t>
        </is>
      </c>
      <c r="B65" t="inlineStr">
        <is>
          <t>2026-07-05</t>
        </is>
      </c>
      <c r="C65" t="inlineStr">
        <is>
          <t>CC-CC001-0269</t>
        </is>
      </c>
      <c r="D65" t="inlineStr">
        <is>
          <t>PJ</t>
        </is>
      </c>
      <c r="E65" t="inlineStr">
        <is>
          <t>Blancoz</t>
        </is>
      </c>
      <c r="F65" t="inlineStr">
        <is>
          <t>Burnt Cheesecake</t>
        </is>
      </c>
      <c r="G65" t="inlineStr">
        <is>
          <t>1 Cake (12 slices)</t>
        </is>
      </c>
      <c r="H65" s="4" t="n">
        <v>2</v>
      </c>
      <c r="I65" s="4" t="n">
        <v>12</v>
      </c>
      <c r="J65">
        <f>H65*I65</f>
        <v/>
      </c>
      <c r="K65" t="n">
        <v>100</v>
      </c>
      <c r="L65" t="n">
        <v>200</v>
      </c>
    </row>
    <row r="66">
      <c r="A66" t="inlineStr">
        <is>
          <t>2026-07</t>
        </is>
      </c>
      <c r="B66" t="inlineStr">
        <is>
          <t>2026-07-05</t>
        </is>
      </c>
      <c r="C66" t="inlineStr">
        <is>
          <t>CC-CC002-0255</t>
        </is>
      </c>
      <c r="D66" t="inlineStr">
        <is>
          <t>SA</t>
        </is>
      </c>
      <c r="E66" t="inlineStr">
        <is>
          <t>Blancoz</t>
        </is>
      </c>
      <c r="F66" t="inlineStr">
        <is>
          <t>Burnt Cheesecake</t>
        </is>
      </c>
      <c r="G66" t="inlineStr">
        <is>
          <t>1 Cake (12 slices)</t>
        </is>
      </c>
      <c r="H66" s="4" t="n">
        <v>1</v>
      </c>
      <c r="I66" s="4" t="n">
        <v>12</v>
      </c>
      <c r="J66">
        <f>H66*I66</f>
        <v/>
      </c>
      <c r="K66" t="n">
        <v>100</v>
      </c>
      <c r="L66" t="n">
        <v>100</v>
      </c>
    </row>
    <row r="67">
      <c r="A67" t="inlineStr">
        <is>
          <t>2026-07</t>
        </is>
      </c>
      <c r="B67" t="inlineStr">
        <is>
          <t>2026-07-05</t>
        </is>
      </c>
      <c r="C67" t="inlineStr">
        <is>
          <t>CC-CC003-0177</t>
        </is>
      </c>
      <c r="D67" t="inlineStr">
        <is>
          <t>TAM</t>
        </is>
      </c>
      <c r="E67" t="inlineStr">
        <is>
          <t>Blancoz</t>
        </is>
      </c>
      <c r="F67" t="inlineStr">
        <is>
          <t>Burnt Cheesecake</t>
        </is>
      </c>
      <c r="G67" t="inlineStr">
        <is>
          <t>1 Cake (12 slices)</t>
        </is>
      </c>
      <c r="H67" s="4" t="n">
        <v>1</v>
      </c>
      <c r="I67" s="4" t="n">
        <v>12</v>
      </c>
      <c r="J67">
        <f>H67*I67</f>
        <v/>
      </c>
      <c r="K67" t="n">
        <v>100</v>
      </c>
      <c r="L67" t="n">
        <v>100</v>
      </c>
    </row>
    <row r="68">
      <c r="A68" t="inlineStr">
        <is>
          <t>2026-07</t>
        </is>
      </c>
      <c r="B68" t="inlineStr">
        <is>
          <t>2026-07-07</t>
        </is>
      </c>
      <c r="C68" t="inlineStr">
        <is>
          <t>CC-CC003-0180</t>
        </is>
      </c>
      <c r="D68" t="inlineStr">
        <is>
          <t>TAM</t>
        </is>
      </c>
      <c r="E68" t="inlineStr">
        <is>
          <t>Blancoz</t>
        </is>
      </c>
      <c r="F68" t="inlineStr">
        <is>
          <t>Burnt Cheesecake</t>
        </is>
      </c>
      <c r="G68" t="inlineStr">
        <is>
          <t>1 Cake (12 slices)</t>
        </is>
      </c>
      <c r="H68" s="4" t="n">
        <v>1</v>
      </c>
      <c r="I68" s="4" t="n">
        <v>12</v>
      </c>
      <c r="J68">
        <f>H68*I68</f>
        <v/>
      </c>
      <c r="K68" t="n">
        <v>100</v>
      </c>
      <c r="L68" t="n">
        <v>100</v>
      </c>
    </row>
    <row r="69">
      <c r="A69" t="inlineStr">
        <is>
          <t>2026-07</t>
        </is>
      </c>
      <c r="B69" t="inlineStr">
        <is>
          <t>2026-07-07</t>
        </is>
      </c>
      <c r="C69" t="inlineStr">
        <is>
          <t>CC-CC002-0260</t>
        </is>
      </c>
      <c r="D69" t="inlineStr">
        <is>
          <t>SA</t>
        </is>
      </c>
      <c r="E69" t="inlineStr">
        <is>
          <t>Blancoz</t>
        </is>
      </c>
      <c r="F69" t="inlineStr">
        <is>
          <t>Burnt Cheesecake</t>
        </is>
      </c>
      <c r="G69" t="inlineStr">
        <is>
          <t>1 Cake (12 slices)</t>
        </is>
      </c>
      <c r="H69" s="4" t="n">
        <v>1</v>
      </c>
      <c r="I69" s="4" t="n">
        <v>12</v>
      </c>
      <c r="J69">
        <f>H69*I69</f>
        <v/>
      </c>
      <c r="K69" t="n">
        <v>100</v>
      </c>
      <c r="L69" t="n">
        <v>100</v>
      </c>
    </row>
    <row r="70">
      <c r="A70" t="inlineStr">
        <is>
          <t>2026-07</t>
        </is>
      </c>
      <c r="B70" t="inlineStr">
        <is>
          <t>2026-07-07</t>
        </is>
      </c>
      <c r="C70" t="inlineStr">
        <is>
          <t>CC-CC001-0275</t>
        </is>
      </c>
      <c r="D70" t="inlineStr">
        <is>
          <t>PJ</t>
        </is>
      </c>
      <c r="E70" t="inlineStr">
        <is>
          <t>Blancoz</t>
        </is>
      </c>
      <c r="F70" t="inlineStr">
        <is>
          <t>Burnt Cheesecake</t>
        </is>
      </c>
      <c r="G70" t="inlineStr">
        <is>
          <t>1 Cake (12 slices)</t>
        </is>
      </c>
      <c r="H70" s="4" t="n">
        <v>2</v>
      </c>
      <c r="I70" s="4" t="n">
        <v>12</v>
      </c>
      <c r="J70">
        <f>H70*I70</f>
        <v/>
      </c>
      <c r="K70" t="n">
        <v>100</v>
      </c>
      <c r="L70" t="n">
        <v>200</v>
      </c>
    </row>
    <row r="71">
      <c r="A71" t="inlineStr">
        <is>
          <t>2026-07</t>
        </is>
      </c>
      <c r="B71" t="inlineStr">
        <is>
          <t>2026-07-13</t>
        </is>
      </c>
      <c r="C71" t="inlineStr">
        <is>
          <t>CC-CC001-0287</t>
        </is>
      </c>
      <c r="D71" t="inlineStr">
        <is>
          <t>PJ</t>
        </is>
      </c>
      <c r="E71" t="inlineStr">
        <is>
          <t>Blancoz</t>
        </is>
      </c>
      <c r="F71" t="inlineStr">
        <is>
          <t>Burnt Cheesecake</t>
        </is>
      </c>
      <c r="G71" t="inlineStr">
        <is>
          <t>1 Cake (12 slices)</t>
        </is>
      </c>
      <c r="H71" s="4" t="n">
        <v>2</v>
      </c>
      <c r="I71" s="4" t="n">
        <v>12</v>
      </c>
      <c r="J71">
        <f>H71*I71</f>
        <v/>
      </c>
      <c r="K71" t="n">
        <v>100</v>
      </c>
      <c r="L71" t="n">
        <v>200</v>
      </c>
    </row>
    <row r="72">
      <c r="A72" t="inlineStr">
        <is>
          <t>2026-07</t>
        </is>
      </c>
      <c r="B72" t="inlineStr">
        <is>
          <t>2026-07-13</t>
        </is>
      </c>
      <c r="C72" t="inlineStr">
        <is>
          <t>CC-CC002-0272</t>
        </is>
      </c>
      <c r="D72" t="inlineStr">
        <is>
          <t>SA</t>
        </is>
      </c>
      <c r="E72" t="inlineStr">
        <is>
          <t>Blancoz</t>
        </is>
      </c>
      <c r="F72" t="inlineStr">
        <is>
          <t>Burnt Cheesecake</t>
        </is>
      </c>
      <c r="G72" t="inlineStr">
        <is>
          <t>1 Cake (12 slices)</t>
        </is>
      </c>
      <c r="H72" s="4" t="n">
        <v>1</v>
      </c>
      <c r="I72" s="4" t="n">
        <v>12</v>
      </c>
      <c r="J72">
        <f>H72*I72</f>
        <v/>
      </c>
      <c r="K72" t="n">
        <v>100</v>
      </c>
      <c r="L72" t="n">
        <v>100</v>
      </c>
    </row>
    <row r="73">
      <c r="A73" t="inlineStr">
        <is>
          <t>2026-07</t>
        </is>
      </c>
      <c r="B73" t="inlineStr">
        <is>
          <t>2026-07-13</t>
        </is>
      </c>
      <c r="C73" t="inlineStr">
        <is>
          <t>CC-CC003-0189</t>
        </is>
      </c>
      <c r="D73" t="inlineStr">
        <is>
          <t>TAM</t>
        </is>
      </c>
      <c r="E73" t="inlineStr">
        <is>
          <t>Blancoz</t>
        </is>
      </c>
      <c r="F73" t="inlineStr">
        <is>
          <t>Burnt Cheesecake</t>
        </is>
      </c>
      <c r="G73" t="inlineStr">
        <is>
          <t>1 Cake (12 slices)</t>
        </is>
      </c>
      <c r="H73" s="4" t="n">
        <v>1</v>
      </c>
      <c r="I73" s="4" t="n">
        <v>12</v>
      </c>
      <c r="J73">
        <f>H73*I73</f>
        <v/>
      </c>
      <c r="K73" t="n">
        <v>100</v>
      </c>
      <c r="L73" t="n">
        <v>100</v>
      </c>
    </row>
    <row r="74">
      <c r="A74" t="inlineStr">
        <is>
          <t>2026-07</t>
        </is>
      </c>
      <c r="B74" t="inlineStr">
        <is>
          <t>2026-07-15</t>
        </is>
      </c>
      <c r="C74" t="inlineStr">
        <is>
          <t>CC-CC002-0281</t>
        </is>
      </c>
      <c r="D74" t="inlineStr">
        <is>
          <t>SA</t>
        </is>
      </c>
      <c r="E74" t="inlineStr">
        <is>
          <t>Blancoz</t>
        </is>
      </c>
      <c r="F74" t="inlineStr">
        <is>
          <t>Burnt Cheesecake</t>
        </is>
      </c>
      <c r="G74" t="inlineStr">
        <is>
          <t>1 Cake (12 slices)</t>
        </is>
      </c>
      <c r="H74" s="4" t="n">
        <v>2</v>
      </c>
      <c r="I74" s="4" t="n">
        <v>12</v>
      </c>
      <c r="J74">
        <f>H74*I74</f>
        <v/>
      </c>
      <c r="K74" t="n">
        <v>100</v>
      </c>
      <c r="L74" t="n">
        <v>200</v>
      </c>
    </row>
    <row r="75">
      <c r="A75" t="inlineStr">
        <is>
          <t>2026-07</t>
        </is>
      </c>
      <c r="B75" t="inlineStr">
        <is>
          <t>2026-07-17</t>
        </is>
      </c>
      <c r="C75" t="inlineStr">
        <is>
          <t>CC-CC001-0301</t>
        </is>
      </c>
      <c r="D75" t="inlineStr">
        <is>
          <t>PJ</t>
        </is>
      </c>
      <c r="E75" t="inlineStr">
        <is>
          <t>Blancoz</t>
        </is>
      </c>
      <c r="F75" t="inlineStr">
        <is>
          <t>Burnt Cheesecake</t>
        </is>
      </c>
      <c r="G75" t="inlineStr">
        <is>
          <t>1 Cake (12 slices)</t>
        </is>
      </c>
      <c r="H75" s="4" t="n">
        <v>0</v>
      </c>
      <c r="I75" s="4" t="n">
        <v>12</v>
      </c>
      <c r="J75">
        <f>H75*I75</f>
        <v/>
      </c>
      <c r="K75" t="n">
        <v>100</v>
      </c>
      <c r="L75" t="n">
        <v>0</v>
      </c>
    </row>
    <row r="76">
      <c r="A76" t="inlineStr">
        <is>
          <t>2026-07</t>
        </is>
      </c>
      <c r="B76" t="inlineStr">
        <is>
          <t>2026-07-17</t>
        </is>
      </c>
      <c r="C76" t="inlineStr">
        <is>
          <t>CC-CC002-0291</t>
        </is>
      </c>
      <c r="D76" t="inlineStr">
        <is>
          <t>SA</t>
        </is>
      </c>
      <c r="E76" t="inlineStr">
        <is>
          <t>Blancoz</t>
        </is>
      </c>
      <c r="F76" t="inlineStr">
        <is>
          <t>Burnt Cheesecake</t>
        </is>
      </c>
      <c r="G76" t="inlineStr">
        <is>
          <t>1 Cake (12 slices)</t>
        </is>
      </c>
      <c r="H76" s="4" t="n">
        <v>2</v>
      </c>
      <c r="I76" s="4" t="n">
        <v>12</v>
      </c>
      <c r="J76">
        <f>H76*I76</f>
        <v/>
      </c>
      <c r="K76" t="n">
        <v>100</v>
      </c>
      <c r="L76" t="n">
        <v>200</v>
      </c>
    </row>
    <row r="77">
      <c r="A77" t="inlineStr">
        <is>
          <t>2026-07</t>
        </is>
      </c>
      <c r="B77" t="inlineStr">
        <is>
          <t>2026-07-17</t>
        </is>
      </c>
      <c r="C77" t="inlineStr">
        <is>
          <t>CC-CC003-0202</t>
        </is>
      </c>
      <c r="D77" t="inlineStr">
        <is>
          <t>TAM</t>
        </is>
      </c>
      <c r="E77" t="inlineStr">
        <is>
          <t>Blancoz</t>
        </is>
      </c>
      <c r="F77" t="inlineStr">
        <is>
          <t>Burnt Cheesecake</t>
        </is>
      </c>
      <c r="G77" t="inlineStr">
        <is>
          <t>1 Cake (12 slices)</t>
        </is>
      </c>
      <c r="H77" s="4" t="n">
        <v>2</v>
      </c>
      <c r="I77" s="4" t="n">
        <v>12</v>
      </c>
      <c r="J77">
        <f>H77*I77</f>
        <v/>
      </c>
      <c r="K77" t="n">
        <v>100</v>
      </c>
      <c r="L77" t="n">
        <v>200</v>
      </c>
    </row>
    <row r="78">
      <c r="A78" t="inlineStr">
        <is>
          <t>2026-07</t>
        </is>
      </c>
      <c r="B78" t="inlineStr">
        <is>
          <t>2026-07-22</t>
        </is>
      </c>
      <c r="C78" t="inlineStr">
        <is>
          <t>CC-CC001-0314</t>
        </is>
      </c>
      <c r="D78" t="inlineStr">
        <is>
          <t>PJ</t>
        </is>
      </c>
      <c r="E78" t="inlineStr">
        <is>
          <t>Blancoz</t>
        </is>
      </c>
      <c r="F78" t="inlineStr">
        <is>
          <t>Burnt Cheesecake</t>
        </is>
      </c>
      <c r="G78" t="inlineStr">
        <is>
          <t>1 Cake (12 slices)</t>
        </is>
      </c>
      <c r="H78" s="4" t="n">
        <v>2</v>
      </c>
      <c r="I78" s="4" t="n">
        <v>12</v>
      </c>
      <c r="J78">
        <f>H78*I78</f>
        <v/>
      </c>
      <c r="K78" t="n">
        <v>100</v>
      </c>
      <c r="L78" t="n">
        <v>200</v>
      </c>
    </row>
    <row r="79">
      <c r="A79" t="inlineStr">
        <is>
          <t>2026-07</t>
        </is>
      </c>
      <c r="B79" t="inlineStr">
        <is>
          <t>2026-07-22</t>
        </is>
      </c>
      <c r="C79" t="inlineStr">
        <is>
          <t>CC-CC002-0300</t>
        </is>
      </c>
      <c r="D79" t="inlineStr">
        <is>
          <t>SA</t>
        </is>
      </c>
      <c r="E79" t="inlineStr">
        <is>
          <t>Blancoz</t>
        </is>
      </c>
      <c r="F79" t="inlineStr">
        <is>
          <t>Burnt Cheesecake</t>
        </is>
      </c>
      <c r="G79" t="inlineStr">
        <is>
          <t>1 Cake (12 slices)</t>
        </is>
      </c>
      <c r="H79" s="4" t="n">
        <v>2</v>
      </c>
      <c r="I79" s="4" t="n">
        <v>12</v>
      </c>
      <c r="J79">
        <f>H79*I79</f>
        <v/>
      </c>
      <c r="K79" t="n">
        <v>100</v>
      </c>
      <c r="L79" t="n">
        <v>200</v>
      </c>
    </row>
    <row r="80">
      <c r="A80" t="inlineStr">
        <is>
          <t>2026-07</t>
        </is>
      </c>
      <c r="B80" t="inlineStr">
        <is>
          <t>2026-07-22</t>
        </is>
      </c>
      <c r="C80" t="inlineStr">
        <is>
          <t>CC-CC003-0205</t>
        </is>
      </c>
      <c r="D80" t="inlineStr">
        <is>
          <t>TAM</t>
        </is>
      </c>
      <c r="E80" t="inlineStr">
        <is>
          <t>Blancoz</t>
        </is>
      </c>
      <c r="F80" t="inlineStr">
        <is>
          <t>Burnt Cheesecake</t>
        </is>
      </c>
      <c r="G80" t="inlineStr">
        <is>
          <t>1 Cake (12 slices)</t>
        </is>
      </c>
      <c r="H80" s="4" t="n">
        <v>1</v>
      </c>
      <c r="I80" s="4" t="n">
        <v>12</v>
      </c>
      <c r="J80">
        <f>H80*I80</f>
        <v/>
      </c>
      <c r="K80" t="n">
        <v>100</v>
      </c>
      <c r="L80" t="n">
        <v>100</v>
      </c>
    </row>
    <row r="81">
      <c r="A81" t="inlineStr">
        <is>
          <t>2026-07</t>
        </is>
      </c>
      <c r="B81" t="inlineStr">
        <is>
          <t>2026-07-26</t>
        </is>
      </c>
      <c r="C81" t="inlineStr">
        <is>
          <t>CC-CC001-0327</t>
        </is>
      </c>
      <c r="D81" t="inlineStr">
        <is>
          <t>PJ</t>
        </is>
      </c>
      <c r="E81" t="inlineStr">
        <is>
          <t>Blancoz</t>
        </is>
      </c>
      <c r="F81" t="inlineStr">
        <is>
          <t>Burnt Cheesecake</t>
        </is>
      </c>
      <c r="G81" t="inlineStr">
        <is>
          <t>1 Cake (12 slices)</t>
        </is>
      </c>
      <c r="H81" s="4" t="n">
        <v>1</v>
      </c>
      <c r="I81" s="4" t="n">
        <v>12</v>
      </c>
      <c r="J81">
        <f>H81*I81</f>
        <v/>
      </c>
      <c r="K81" t="n">
        <v>100</v>
      </c>
      <c r="L81" t="n">
        <v>100</v>
      </c>
    </row>
    <row r="82">
      <c r="A82" t="inlineStr">
        <is>
          <t>2026-07</t>
        </is>
      </c>
      <c r="B82" t="inlineStr">
        <is>
          <t>2026-07-26</t>
        </is>
      </c>
      <c r="C82" t="inlineStr">
        <is>
          <t>CC-CC002-0317</t>
        </is>
      </c>
      <c r="D82" t="inlineStr">
        <is>
          <t>SA</t>
        </is>
      </c>
      <c r="E82" t="inlineStr">
        <is>
          <t>Blancoz</t>
        </is>
      </c>
      <c r="F82" t="inlineStr">
        <is>
          <t>Burnt Cheesecake</t>
        </is>
      </c>
      <c r="G82" t="inlineStr">
        <is>
          <t>1 Cake (12 slices)</t>
        </is>
      </c>
      <c r="H82" s="4" t="n">
        <v>1</v>
      </c>
      <c r="I82" s="4" t="n">
        <v>12</v>
      </c>
      <c r="J82">
        <f>H82*I82</f>
        <v/>
      </c>
      <c r="K82" t="n">
        <v>100</v>
      </c>
      <c r="L82" t="n">
        <v>100</v>
      </c>
    </row>
    <row r="83">
      <c r="A83" t="inlineStr">
        <is>
          <t>2026-07</t>
        </is>
      </c>
      <c r="B83" t="inlineStr">
        <is>
          <t>2026-07-26</t>
        </is>
      </c>
      <c r="C83" t="inlineStr">
        <is>
          <t>CC-CC003-0214</t>
        </is>
      </c>
      <c r="D83" t="inlineStr">
        <is>
          <t>TAM</t>
        </is>
      </c>
      <c r="E83" t="inlineStr">
        <is>
          <t>Blancoz</t>
        </is>
      </c>
      <c r="F83" t="inlineStr">
        <is>
          <t>Burnt Cheesecake</t>
        </is>
      </c>
      <c r="G83" t="inlineStr">
        <is>
          <t>1 Cake (12 slices)</t>
        </is>
      </c>
      <c r="H83" s="4" t="n">
        <v>2</v>
      </c>
      <c r="I83" s="4" t="n">
        <v>12</v>
      </c>
      <c r="J83">
        <f>H83*I83</f>
        <v/>
      </c>
      <c r="K83" t="n">
        <v>100</v>
      </c>
      <c r="L83" t="n">
        <v>200</v>
      </c>
    </row>
    <row r="84">
      <c r="A84" t="inlineStr">
        <is>
          <t>2026-04</t>
        </is>
      </c>
      <c r="B84" t="inlineStr">
        <is>
          <t>2026-04-14</t>
        </is>
      </c>
      <c r="C84" t="inlineStr">
        <is>
          <t>CC-CC002-0004</t>
        </is>
      </c>
      <c r="D84" t="inlineStr">
        <is>
          <t>SA</t>
        </is>
      </c>
      <c r="E84" t="inlineStr">
        <is>
          <t>Milk n Moka</t>
        </is>
      </c>
      <c r="F84" t="inlineStr">
        <is>
          <t>Fresh Milk</t>
        </is>
      </c>
      <c r="G84" t="inlineStr">
        <is>
          <t>Carton (12× 1,000ml Bottle)</t>
        </is>
      </c>
      <c r="H84" s="4" t="n">
        <v>6</v>
      </c>
      <c r="I84" s="4" t="n">
        <v>12000</v>
      </c>
      <c r="J84">
        <f>H84*I84</f>
        <v/>
      </c>
      <c r="K84" t="n">
        <v>84</v>
      </c>
      <c r="L84" t="n">
        <v>504</v>
      </c>
    </row>
    <row r="85">
      <c r="A85" t="inlineStr">
        <is>
          <t>2026-04</t>
        </is>
      </c>
      <c r="B85" t="inlineStr">
        <is>
          <t>2026-04-14</t>
        </is>
      </c>
      <c r="C85" t="inlineStr">
        <is>
          <t>CC-CC001-0010</t>
        </is>
      </c>
      <c r="D85" t="inlineStr">
        <is>
          <t>PJ</t>
        </is>
      </c>
      <c r="E85" t="inlineStr">
        <is>
          <t>The Milk Ministry</t>
        </is>
      </c>
      <c r="F85" t="inlineStr">
        <is>
          <t>Fresh Milk</t>
        </is>
      </c>
      <c r="G85" t="inlineStr">
        <is>
          <t>Carton (12× 2,000ml Bottle)</t>
        </is>
      </c>
      <c r="H85" s="4" t="n">
        <v>8</v>
      </c>
      <c r="I85" s="4" t="n">
        <v>24000</v>
      </c>
      <c r="J85">
        <f>H85*I85</f>
        <v/>
      </c>
      <c r="K85" t="n">
        <v>81.78</v>
      </c>
      <c r="L85" t="n">
        <v>654.24</v>
      </c>
    </row>
    <row r="86">
      <c r="A86" t="inlineStr">
        <is>
          <t>2026-04</t>
        </is>
      </c>
      <c r="B86" t="inlineStr">
        <is>
          <t>2026-04-16</t>
        </is>
      </c>
      <c r="C86" t="inlineStr">
        <is>
          <t>CC-CC003-0007</t>
        </is>
      </c>
      <c r="D86" t="inlineStr">
        <is>
          <t>TAM</t>
        </is>
      </c>
      <c r="E86" t="inlineStr">
        <is>
          <t>The Milk Ministry</t>
        </is>
      </c>
      <c r="F86" t="inlineStr">
        <is>
          <t>Fresh Milk</t>
        </is>
      </c>
      <c r="G86" t="inlineStr">
        <is>
          <t>Carton (12× 2,000ml Bottle)</t>
        </is>
      </c>
      <c r="H86" s="4" t="n">
        <v>8</v>
      </c>
      <c r="I86" s="4" t="n">
        <v>24000</v>
      </c>
      <c r="J86">
        <f>H86*I86</f>
        <v/>
      </c>
      <c r="K86" t="n">
        <v>81.78</v>
      </c>
      <c r="L86" t="n">
        <v>654.24</v>
      </c>
    </row>
    <row r="87">
      <c r="A87" t="inlineStr">
        <is>
          <t>2026-04</t>
        </is>
      </c>
      <c r="B87" t="inlineStr">
        <is>
          <t>2026-04-16</t>
        </is>
      </c>
      <c r="C87" t="inlineStr">
        <is>
          <t>PC-CC002-0008</t>
        </is>
      </c>
      <c r="D87" t="inlineStr">
        <is>
          <t>SA</t>
        </is>
      </c>
      <c r="E87" t="inlineStr">
        <is>
          <t>Ad-hoc Purchase</t>
        </is>
      </c>
      <c r="F87" t="inlineStr">
        <is>
          <t>Fresh Milk</t>
        </is>
      </c>
      <c r="G87" t="inlineStr">
        <is>
          <t>Carton (12× 1,000ml Bottle)</t>
        </is>
      </c>
      <c r="H87" s="4" t="n">
        <v>3</v>
      </c>
      <c r="I87" s="4" t="n">
        <v>12000</v>
      </c>
      <c r="J87">
        <f>H87*I87</f>
        <v/>
      </c>
      <c r="K87" t="n">
        <v>16.2</v>
      </c>
      <c r="L87" t="n">
        <v>48.6</v>
      </c>
    </row>
    <row r="88">
      <c r="A88" t="inlineStr">
        <is>
          <t>2026-04</t>
        </is>
      </c>
      <c r="B88" t="inlineStr">
        <is>
          <t>2026-04-19</t>
        </is>
      </c>
      <c r="C88" t="inlineStr">
        <is>
          <t>CC-CC002-0020</t>
        </is>
      </c>
      <c r="D88" t="inlineStr">
        <is>
          <t>SA</t>
        </is>
      </c>
      <c r="E88" t="inlineStr">
        <is>
          <t>Milk n Moka</t>
        </is>
      </c>
      <c r="F88" t="inlineStr">
        <is>
          <t>Fresh Milk</t>
        </is>
      </c>
      <c r="G88" t="inlineStr">
        <is>
          <t>Carton (12× 1,000ml Bottle)</t>
        </is>
      </c>
      <c r="H88" s="4" t="n">
        <v>6</v>
      </c>
      <c r="I88" s="4" t="n">
        <v>12000</v>
      </c>
      <c r="J88">
        <f>H88*I88</f>
        <v/>
      </c>
      <c r="K88" t="n">
        <v>84</v>
      </c>
      <c r="L88" t="n">
        <v>504</v>
      </c>
    </row>
    <row r="89">
      <c r="A89" t="inlineStr">
        <is>
          <t>2026-04</t>
        </is>
      </c>
      <c r="B89" t="inlineStr">
        <is>
          <t>2026-04-19</t>
        </is>
      </c>
      <c r="C89" t="inlineStr">
        <is>
          <t>CC-CC002-0021</t>
        </is>
      </c>
      <c r="D89" t="inlineStr">
        <is>
          <t>SA</t>
        </is>
      </c>
      <c r="E89" t="inlineStr">
        <is>
          <t>Milk n Moka</t>
        </is>
      </c>
      <c r="F89" t="inlineStr">
        <is>
          <t>Fresh Milk</t>
        </is>
      </c>
      <c r="G89" t="inlineStr">
        <is>
          <t>Carton (12× 1,000ml Bottle)</t>
        </is>
      </c>
      <c r="H89" s="4" t="n">
        <v>6</v>
      </c>
      <c r="I89" s="4" t="n">
        <v>12000</v>
      </c>
      <c r="J89">
        <f>H89*I89</f>
        <v/>
      </c>
      <c r="K89" t="n">
        <v>84</v>
      </c>
      <c r="L89" t="n">
        <v>504</v>
      </c>
    </row>
    <row r="90">
      <c r="A90" t="inlineStr">
        <is>
          <t>2026-04</t>
        </is>
      </c>
      <c r="B90" t="inlineStr">
        <is>
          <t>2026-04-22</t>
        </is>
      </c>
      <c r="C90" t="inlineStr">
        <is>
          <t>CC-CC001-0027</t>
        </is>
      </c>
      <c r="D90" t="inlineStr">
        <is>
          <t>PJ</t>
        </is>
      </c>
      <c r="E90" t="inlineStr">
        <is>
          <t>The Milk Ministry</t>
        </is>
      </c>
      <c r="F90" t="inlineStr">
        <is>
          <t>Fresh Milk</t>
        </is>
      </c>
      <c r="G90" t="inlineStr">
        <is>
          <t>Carton (12× 2,000ml Bottle)</t>
        </is>
      </c>
      <c r="H90" s="4" t="n">
        <v>8</v>
      </c>
      <c r="I90" s="4" t="n">
        <v>24000</v>
      </c>
      <c r="J90">
        <f>H90*I90</f>
        <v/>
      </c>
      <c r="K90" t="n">
        <v>81.78</v>
      </c>
      <c r="L90" t="n">
        <v>654.24</v>
      </c>
    </row>
    <row r="91">
      <c r="A91" t="inlineStr">
        <is>
          <t>2026-04</t>
        </is>
      </c>
      <c r="B91" t="inlineStr">
        <is>
          <t>2026-04-22</t>
        </is>
      </c>
      <c r="C91" t="inlineStr">
        <is>
          <t>CC-CC003-0014</t>
        </is>
      </c>
      <c r="D91" t="inlineStr">
        <is>
          <t>TAM</t>
        </is>
      </c>
      <c r="E91" t="inlineStr">
        <is>
          <t>The Milk Ministry</t>
        </is>
      </c>
      <c r="F91" t="inlineStr">
        <is>
          <t>Fresh Milk</t>
        </is>
      </c>
      <c r="G91" t="inlineStr">
        <is>
          <t>Carton (12× 1,000ml Bottle)</t>
        </is>
      </c>
      <c r="H91" s="4" t="n">
        <v>8</v>
      </c>
      <c r="I91" s="4" t="n">
        <v>12000</v>
      </c>
      <c r="J91">
        <f>H91*I91</f>
        <v/>
      </c>
      <c r="K91" t="n">
        <v>84.45999999999999</v>
      </c>
      <c r="L91" t="n">
        <v>675.6799999999999</v>
      </c>
    </row>
    <row r="92">
      <c r="A92" t="inlineStr">
        <is>
          <t>2026-04</t>
        </is>
      </c>
      <c r="B92" t="inlineStr">
        <is>
          <t>2026-04-23</t>
        </is>
      </c>
      <c r="C92" t="inlineStr">
        <is>
          <t>PC-CC001-0027</t>
        </is>
      </c>
      <c r="D92" t="inlineStr">
        <is>
          <t>PJ</t>
        </is>
      </c>
      <c r="E92" t="inlineStr">
        <is>
          <t>Ad-hoc Purchase</t>
        </is>
      </c>
      <c r="F92" t="inlineStr">
        <is>
          <t>Fresh Milk</t>
        </is>
      </c>
      <c r="G92" t="inlineStr">
        <is>
          <t>(no pkg)</t>
        </is>
      </c>
      <c r="H92" s="4" t="n">
        <v>2</v>
      </c>
      <c r="I92" s="4" t="n">
        <v>1</v>
      </c>
      <c r="J92">
        <f>H92*I92</f>
        <v/>
      </c>
      <c r="K92" t="n">
        <v>16.2</v>
      </c>
      <c r="L92" t="n">
        <v>32.4</v>
      </c>
    </row>
    <row r="93">
      <c r="A93" t="inlineStr">
        <is>
          <t>2026-04</t>
        </is>
      </c>
      <c r="B93" t="inlineStr">
        <is>
          <t>2026-04-23</t>
        </is>
      </c>
      <c r="C93" t="inlineStr">
        <is>
          <t>PC-CC003-0013</t>
        </is>
      </c>
      <c r="D93" t="inlineStr">
        <is>
          <t>TAM</t>
        </is>
      </c>
      <c r="E93" t="inlineStr">
        <is>
          <t>Ad-hoc Purchase</t>
        </is>
      </c>
      <c r="F93" t="inlineStr">
        <is>
          <t>Fresh Milk</t>
        </is>
      </c>
      <c r="G93" t="inlineStr">
        <is>
          <t>(no pkg)</t>
        </is>
      </c>
      <c r="H93" s="4" t="n">
        <v>1</v>
      </c>
      <c r="I93" s="4" t="n">
        <v>1</v>
      </c>
      <c r="J93">
        <f>H93*I93</f>
        <v/>
      </c>
      <c r="K93" t="n">
        <v>66.8</v>
      </c>
      <c r="L93" t="n">
        <v>66.8</v>
      </c>
    </row>
    <row r="94">
      <c r="A94" t="inlineStr">
        <is>
          <t>2026-04</t>
        </is>
      </c>
      <c r="B94" t="inlineStr">
        <is>
          <t>2026-04-23</t>
        </is>
      </c>
      <c r="C94" t="inlineStr">
        <is>
          <t>PC-CC001-0039</t>
        </is>
      </c>
      <c r="D94" t="inlineStr">
        <is>
          <t>PJ</t>
        </is>
      </c>
      <c r="E94" t="inlineStr">
        <is>
          <t>Ad-hoc Purchase</t>
        </is>
      </c>
      <c r="F94" t="inlineStr">
        <is>
          <t>Fresh Milk</t>
        </is>
      </c>
      <c r="G94" t="inlineStr">
        <is>
          <t>(no pkg)</t>
        </is>
      </c>
      <c r="H94" s="4" t="n">
        <v>3</v>
      </c>
      <c r="I94" s="4" t="n">
        <v>1</v>
      </c>
      <c r="J94">
        <f>H94*I94</f>
        <v/>
      </c>
      <c r="K94" t="n">
        <v>7.9</v>
      </c>
      <c r="L94" t="n">
        <v>23.7</v>
      </c>
    </row>
    <row r="95">
      <c r="A95" t="inlineStr">
        <is>
          <t>2026-04</t>
        </is>
      </c>
      <c r="B95" t="inlineStr">
        <is>
          <t>2026-04-23</t>
        </is>
      </c>
      <c r="C95" t="inlineStr">
        <is>
          <t>PC-CC001-0046</t>
        </is>
      </c>
      <c r="D95" t="inlineStr">
        <is>
          <t>PJ</t>
        </is>
      </c>
      <c r="E95" t="inlineStr">
        <is>
          <t>Ad-hoc Purchase</t>
        </is>
      </c>
      <c r="F95" t="inlineStr">
        <is>
          <t>Fresh Milk</t>
        </is>
      </c>
      <c r="G95" t="inlineStr">
        <is>
          <t>(no pkg)</t>
        </is>
      </c>
      <c r="H95" s="4" t="n">
        <v>4</v>
      </c>
      <c r="I95" s="4" t="n">
        <v>1</v>
      </c>
      <c r="J95">
        <f>H95*I95</f>
        <v/>
      </c>
      <c r="K95" t="n">
        <v>7.9</v>
      </c>
      <c r="L95" t="n">
        <v>31.6</v>
      </c>
    </row>
    <row r="96">
      <c r="A96" t="inlineStr">
        <is>
          <t>2026-04</t>
        </is>
      </c>
      <c r="B96" t="inlineStr">
        <is>
          <t>2026-04-26</t>
        </is>
      </c>
      <c r="C96" t="inlineStr">
        <is>
          <t>PC-CC001-0047</t>
        </is>
      </c>
      <c r="D96" t="inlineStr">
        <is>
          <t>PJ</t>
        </is>
      </c>
      <c r="E96" t="inlineStr">
        <is>
          <t>Ad-hoc Purchase</t>
        </is>
      </c>
      <c r="F96" t="inlineStr">
        <is>
          <t>Fresh Milk</t>
        </is>
      </c>
      <c r="G96" t="inlineStr">
        <is>
          <t>(no pkg)</t>
        </is>
      </c>
      <c r="H96" s="4" t="n">
        <v>10</v>
      </c>
      <c r="I96" s="4" t="n">
        <v>1</v>
      </c>
      <c r="J96">
        <f>H96*I96</f>
        <v/>
      </c>
      <c r="K96" t="n">
        <v>7.95</v>
      </c>
      <c r="L96" t="n">
        <v>79.5</v>
      </c>
    </row>
    <row r="97">
      <c r="A97" t="inlineStr">
        <is>
          <t>2026-04</t>
        </is>
      </c>
      <c r="B97" t="inlineStr">
        <is>
          <t>2026-04-26</t>
        </is>
      </c>
      <c r="C97" t="inlineStr">
        <is>
          <t>PC-CC001-0048</t>
        </is>
      </c>
      <c r="D97" t="inlineStr">
        <is>
          <t>PJ</t>
        </is>
      </c>
      <c r="E97" t="inlineStr">
        <is>
          <t>Ad-hoc Purchase</t>
        </is>
      </c>
      <c r="F97" t="inlineStr">
        <is>
          <t>Fresh Milk</t>
        </is>
      </c>
      <c r="G97" t="inlineStr">
        <is>
          <t>(no pkg)</t>
        </is>
      </c>
      <c r="H97" s="4" t="n">
        <v>5</v>
      </c>
      <c r="I97" s="4" t="n">
        <v>1</v>
      </c>
      <c r="J97">
        <f>H97*I97</f>
        <v/>
      </c>
      <c r="K97" t="n">
        <v>16.2</v>
      </c>
      <c r="L97" t="n">
        <v>81</v>
      </c>
    </row>
    <row r="98">
      <c r="A98" t="inlineStr">
        <is>
          <t>2026-04</t>
        </is>
      </c>
      <c r="B98" t="inlineStr">
        <is>
          <t>2026-04-26</t>
        </is>
      </c>
      <c r="C98" t="inlineStr">
        <is>
          <t>PC-CC003-0028</t>
        </is>
      </c>
      <c r="D98" t="inlineStr">
        <is>
          <t>TAM</t>
        </is>
      </c>
      <c r="E98" t="inlineStr">
        <is>
          <t>Ad-hoc Purchase</t>
        </is>
      </c>
      <c r="F98" t="inlineStr">
        <is>
          <t>Fresh Milk</t>
        </is>
      </c>
      <c r="G98" t="inlineStr">
        <is>
          <t>(no pkg)</t>
        </is>
      </c>
      <c r="H98" s="4" t="n">
        <v>3</v>
      </c>
      <c r="I98" s="4" t="n">
        <v>1</v>
      </c>
      <c r="J98">
        <f>H98*I98</f>
        <v/>
      </c>
      <c r="K98" t="n">
        <v>16.2</v>
      </c>
      <c r="L98" t="n">
        <v>48.6</v>
      </c>
    </row>
    <row r="99">
      <c r="A99" t="inlineStr">
        <is>
          <t>2026-04</t>
        </is>
      </c>
      <c r="B99" t="inlineStr">
        <is>
          <t>2026-04-26</t>
        </is>
      </c>
      <c r="C99" t="inlineStr">
        <is>
          <t>PC-CC002-0028</t>
        </is>
      </c>
      <c r="D99" t="inlineStr">
        <is>
          <t>SA</t>
        </is>
      </c>
      <c r="E99" t="inlineStr">
        <is>
          <t>Ad-hoc Purchase</t>
        </is>
      </c>
      <c r="F99" t="inlineStr">
        <is>
          <t>Fresh Milk</t>
        </is>
      </c>
      <c r="G99" t="inlineStr">
        <is>
          <t>(no pkg)</t>
        </is>
      </c>
      <c r="H99" s="4" t="n">
        <v>3</v>
      </c>
      <c r="I99" s="4" t="n">
        <v>1</v>
      </c>
      <c r="J99">
        <f>H99*I99</f>
        <v/>
      </c>
      <c r="K99" t="n">
        <v>8.449999999999999</v>
      </c>
      <c r="L99" t="n">
        <v>25.35</v>
      </c>
    </row>
    <row r="100">
      <c r="A100" t="inlineStr">
        <is>
          <t>2026-04</t>
        </is>
      </c>
      <c r="B100" t="inlineStr">
        <is>
          <t>2026-04-26</t>
        </is>
      </c>
      <c r="C100" t="inlineStr">
        <is>
          <t>PC-CC002-0029</t>
        </is>
      </c>
      <c r="D100" t="inlineStr">
        <is>
          <t>SA</t>
        </is>
      </c>
      <c r="E100" t="inlineStr">
        <is>
          <t>Ad-hoc Purchase</t>
        </is>
      </c>
      <c r="F100" t="inlineStr">
        <is>
          <t>Fresh Milk</t>
        </is>
      </c>
      <c r="G100" t="inlineStr">
        <is>
          <t>(no pkg)</t>
        </is>
      </c>
      <c r="H100" s="4" t="n">
        <v>1</v>
      </c>
      <c r="I100" s="4" t="n">
        <v>1</v>
      </c>
      <c r="J100">
        <f>H100*I100</f>
        <v/>
      </c>
      <c r="K100" t="n">
        <v>42.45</v>
      </c>
      <c r="L100" t="n">
        <v>42.45</v>
      </c>
    </row>
    <row r="101">
      <c r="A101" t="inlineStr">
        <is>
          <t>2026-04</t>
        </is>
      </c>
      <c r="B101" t="inlineStr">
        <is>
          <t>2026-04-27</t>
        </is>
      </c>
      <c r="C101" t="inlineStr">
        <is>
          <t>CC-CC003-0019</t>
        </is>
      </c>
      <c r="D101" t="inlineStr">
        <is>
          <t>TAM</t>
        </is>
      </c>
      <c r="E101" t="inlineStr">
        <is>
          <t>The Milk Ministry</t>
        </is>
      </c>
      <c r="F101" t="inlineStr">
        <is>
          <t>Fresh Milk</t>
        </is>
      </c>
      <c r="G101" t="inlineStr">
        <is>
          <t>Carton (12× 1,000ml Bottle)</t>
        </is>
      </c>
      <c r="H101" s="4" t="n">
        <v>8</v>
      </c>
      <c r="I101" s="4" t="n">
        <v>12000</v>
      </c>
      <c r="J101">
        <f>H101*I101</f>
        <v/>
      </c>
      <c r="K101" t="n">
        <v>84.45999999999999</v>
      </c>
      <c r="L101" t="n">
        <v>675.6799999999999</v>
      </c>
    </row>
    <row r="102">
      <c r="A102" t="inlineStr">
        <is>
          <t>2026-04</t>
        </is>
      </c>
      <c r="B102" t="inlineStr">
        <is>
          <t>2026-04-27</t>
        </is>
      </c>
      <c r="C102" t="inlineStr">
        <is>
          <t>CC-CC002-0033</t>
        </is>
      </c>
      <c r="D102" t="inlineStr">
        <is>
          <t>SA</t>
        </is>
      </c>
      <c r="E102" t="inlineStr">
        <is>
          <t>Milk n Moka</t>
        </is>
      </c>
      <c r="F102" t="inlineStr">
        <is>
          <t>Fresh Milk</t>
        </is>
      </c>
      <c r="G102" t="inlineStr">
        <is>
          <t>Carton (12× 1,000ml Bottle)</t>
        </is>
      </c>
      <c r="H102" s="4" t="n">
        <v>96</v>
      </c>
      <c r="I102" s="4" t="n">
        <v>12000</v>
      </c>
      <c r="J102">
        <f>H102*I102</f>
        <v/>
      </c>
      <c r="K102" t="n">
        <v>7</v>
      </c>
      <c r="L102" t="n">
        <v>672</v>
      </c>
    </row>
    <row r="103">
      <c r="A103" t="inlineStr">
        <is>
          <t>2026-04</t>
        </is>
      </c>
      <c r="B103" t="inlineStr">
        <is>
          <t>2026-04-27</t>
        </is>
      </c>
      <c r="C103" t="inlineStr">
        <is>
          <t>CC-CC001-0039</t>
        </is>
      </c>
      <c r="D103" t="inlineStr">
        <is>
          <t>PJ</t>
        </is>
      </c>
      <c r="E103" t="inlineStr">
        <is>
          <t>The Milk Ministry</t>
        </is>
      </c>
      <c r="F103" t="inlineStr">
        <is>
          <t>Fresh Milk</t>
        </is>
      </c>
      <c r="G103" t="inlineStr">
        <is>
          <t>Carton (12× 1,000ml Bottle)</t>
        </is>
      </c>
      <c r="H103" s="4" t="n">
        <v>8</v>
      </c>
      <c r="I103" s="4" t="n">
        <v>12000</v>
      </c>
      <c r="J103">
        <f>H103*I103</f>
        <v/>
      </c>
      <c r="K103" t="n">
        <v>84.45999999999999</v>
      </c>
      <c r="L103" t="n">
        <v>675.6799999999999</v>
      </c>
    </row>
    <row r="104">
      <c r="A104" t="inlineStr">
        <is>
          <t>2026-04</t>
        </is>
      </c>
      <c r="B104" t="inlineStr">
        <is>
          <t>2026-04-27</t>
        </is>
      </c>
      <c r="C104" t="inlineStr">
        <is>
          <t>PC-CC003-0038</t>
        </is>
      </c>
      <c r="D104" t="inlineStr">
        <is>
          <t>TAM</t>
        </is>
      </c>
      <c r="E104" t="inlineStr">
        <is>
          <t>Ad-hoc Purchase</t>
        </is>
      </c>
      <c r="F104" t="inlineStr">
        <is>
          <t>Fresh Milk</t>
        </is>
      </c>
      <c r="G104" t="inlineStr">
        <is>
          <t>Carton (12× 2,000ml Bottle)</t>
        </is>
      </c>
      <c r="H104" s="4" t="n">
        <v>5</v>
      </c>
      <c r="I104" s="4" t="n">
        <v>24000</v>
      </c>
      <c r="J104">
        <f>H104*I104</f>
        <v/>
      </c>
      <c r="K104" t="n">
        <v>7.9</v>
      </c>
      <c r="L104" t="n">
        <v>39.5</v>
      </c>
    </row>
    <row r="105">
      <c r="A105" t="inlineStr">
        <is>
          <t>2026-05</t>
        </is>
      </c>
      <c r="B105" t="inlineStr">
        <is>
          <t>2026-05-03</t>
        </is>
      </c>
      <c r="C105" t="inlineStr">
        <is>
          <t>CC-CC001-0059</t>
        </is>
      </c>
      <c r="D105" t="inlineStr">
        <is>
          <t>PJ</t>
        </is>
      </c>
      <c r="E105" t="inlineStr">
        <is>
          <t>The Milk Ministry</t>
        </is>
      </c>
      <c r="F105" t="inlineStr">
        <is>
          <t>Fresh Milk</t>
        </is>
      </c>
      <c r="G105" t="inlineStr">
        <is>
          <t>Carton (12× 1,000ml Bottle)</t>
        </is>
      </c>
      <c r="H105" s="4" t="n">
        <v>8</v>
      </c>
      <c r="I105" s="4" t="n">
        <v>12000</v>
      </c>
      <c r="J105">
        <f>H105*I105</f>
        <v/>
      </c>
      <c r="K105" t="n">
        <v>84.45999999999999</v>
      </c>
      <c r="L105" t="n">
        <v>675.6799999999999</v>
      </c>
    </row>
    <row r="106">
      <c r="A106" t="inlineStr">
        <is>
          <t>2026-05</t>
        </is>
      </c>
      <c r="B106" t="inlineStr">
        <is>
          <t>2026-05-03</t>
        </is>
      </c>
      <c r="C106" t="inlineStr">
        <is>
          <t>CC-CC002-0044</t>
        </is>
      </c>
      <c r="D106" t="inlineStr">
        <is>
          <t>SA</t>
        </is>
      </c>
      <c r="E106" t="inlineStr">
        <is>
          <t>Milk n Moka</t>
        </is>
      </c>
      <c r="F106" t="inlineStr">
        <is>
          <t>Fresh Milk</t>
        </is>
      </c>
      <c r="G106" t="inlineStr">
        <is>
          <t>Carton (12× 1,000ml Bottle)</t>
        </is>
      </c>
      <c r="H106" s="4" t="n">
        <v>8</v>
      </c>
      <c r="I106" s="4" t="n">
        <v>12000</v>
      </c>
      <c r="J106">
        <f>H106*I106</f>
        <v/>
      </c>
      <c r="K106" t="n">
        <v>84</v>
      </c>
      <c r="L106" t="n">
        <v>672</v>
      </c>
    </row>
    <row r="107">
      <c r="A107" t="inlineStr">
        <is>
          <t>2026-05</t>
        </is>
      </c>
      <c r="B107" t="inlineStr">
        <is>
          <t>2026-05-03</t>
        </is>
      </c>
      <c r="C107" t="inlineStr">
        <is>
          <t>CC-CC002-0045</t>
        </is>
      </c>
      <c r="D107" t="inlineStr">
        <is>
          <t>SA</t>
        </is>
      </c>
      <c r="E107" t="inlineStr">
        <is>
          <t>Milk n Moka</t>
        </is>
      </c>
      <c r="F107" t="inlineStr">
        <is>
          <t>Fresh Milk</t>
        </is>
      </c>
      <c r="G107" t="inlineStr">
        <is>
          <t>Carton (12× 1,000ml Bottle)</t>
        </is>
      </c>
      <c r="H107" s="4" t="n">
        <v>6</v>
      </c>
      <c r="I107" s="4" t="n">
        <v>12000</v>
      </c>
      <c r="J107">
        <f>H107*I107</f>
        <v/>
      </c>
      <c r="K107" t="n">
        <v>84</v>
      </c>
      <c r="L107" t="n">
        <v>504</v>
      </c>
    </row>
    <row r="108">
      <c r="A108" t="inlineStr">
        <is>
          <t>2026-05</t>
        </is>
      </c>
      <c r="B108" t="inlineStr">
        <is>
          <t>2026-05-03</t>
        </is>
      </c>
      <c r="C108" t="inlineStr">
        <is>
          <t>CC-CC003-0026</t>
        </is>
      </c>
      <c r="D108" t="inlineStr">
        <is>
          <t>TAM</t>
        </is>
      </c>
      <c r="E108" t="inlineStr">
        <is>
          <t>The Milk Ministry</t>
        </is>
      </c>
      <c r="F108" t="inlineStr">
        <is>
          <t>Fresh Milk</t>
        </is>
      </c>
      <c r="G108" t="inlineStr">
        <is>
          <t>Carton (12× 2,000ml Bottle)</t>
        </is>
      </c>
      <c r="H108" s="4" t="n">
        <v>8</v>
      </c>
      <c r="I108" s="4" t="n">
        <v>24000</v>
      </c>
      <c r="J108">
        <f>H108*I108</f>
        <v/>
      </c>
      <c r="K108" t="n">
        <v>81.78</v>
      </c>
      <c r="L108" t="n">
        <v>654.24</v>
      </c>
    </row>
    <row r="109">
      <c r="A109" t="inlineStr">
        <is>
          <t>2026-05</t>
        </is>
      </c>
      <c r="B109" t="inlineStr">
        <is>
          <t>2026-05-03</t>
        </is>
      </c>
      <c r="C109" t="inlineStr">
        <is>
          <t>CC-CC001-0060</t>
        </is>
      </c>
      <c r="D109" t="inlineStr">
        <is>
          <t>PJ</t>
        </is>
      </c>
      <c r="E109" t="inlineStr">
        <is>
          <t>The Milk Ministry</t>
        </is>
      </c>
      <c r="F109" t="inlineStr">
        <is>
          <t>Fresh Milk</t>
        </is>
      </c>
      <c r="G109" t="inlineStr">
        <is>
          <t>Carton (12× 2,000ml Bottle)</t>
        </is>
      </c>
      <c r="H109" s="4" t="n">
        <v>8</v>
      </c>
      <c r="I109" s="4" t="n">
        <v>24000</v>
      </c>
      <c r="J109">
        <f>H109*I109</f>
        <v/>
      </c>
      <c r="K109" t="n">
        <v>81.78</v>
      </c>
      <c r="L109" t="n">
        <v>654.24</v>
      </c>
    </row>
    <row r="110">
      <c r="A110" t="inlineStr">
        <is>
          <t>2026-05</t>
        </is>
      </c>
      <c r="B110" t="inlineStr">
        <is>
          <t>2026-05-07</t>
        </is>
      </c>
      <c r="C110" t="inlineStr">
        <is>
          <t>CC-CC001-0081</t>
        </is>
      </c>
      <c r="D110" t="inlineStr">
        <is>
          <t>PJ</t>
        </is>
      </c>
      <c r="E110" t="inlineStr">
        <is>
          <t>The Milk Ministry</t>
        </is>
      </c>
      <c r="F110" t="inlineStr">
        <is>
          <t>Fresh Milk</t>
        </is>
      </c>
      <c r="G110" t="inlineStr">
        <is>
          <t>Carton (12× 1,000ml Bottle)</t>
        </is>
      </c>
      <c r="H110" s="4" t="n">
        <v>96</v>
      </c>
      <c r="I110" s="4" t="n">
        <v>12000</v>
      </c>
      <c r="J110">
        <f>H110*I110</f>
        <v/>
      </c>
      <c r="K110" t="n">
        <v>7.04</v>
      </c>
      <c r="L110" t="n">
        <v>675.84</v>
      </c>
    </row>
    <row r="111">
      <c r="A111" t="inlineStr">
        <is>
          <t>2026-05</t>
        </is>
      </c>
      <c r="B111" t="inlineStr">
        <is>
          <t>2026-05-07</t>
        </is>
      </c>
      <c r="C111" t="inlineStr">
        <is>
          <t>CC-CC002-0065</t>
        </is>
      </c>
      <c r="D111" t="inlineStr">
        <is>
          <t>SA</t>
        </is>
      </c>
      <c r="E111" t="inlineStr">
        <is>
          <t>Milk n Moka</t>
        </is>
      </c>
      <c r="F111" t="inlineStr">
        <is>
          <t>Fresh Milk</t>
        </is>
      </c>
      <c r="G111" t="inlineStr">
        <is>
          <t>Carton (12× 1,000ml Bottle)</t>
        </is>
      </c>
      <c r="H111" s="4" t="n">
        <v>8</v>
      </c>
      <c r="I111" s="4" t="n">
        <v>12000</v>
      </c>
      <c r="J111">
        <f>H111*I111</f>
        <v/>
      </c>
      <c r="K111" t="n">
        <v>84</v>
      </c>
      <c r="L111" t="n">
        <v>672</v>
      </c>
    </row>
    <row r="112">
      <c r="A112" t="inlineStr">
        <is>
          <t>2026-05</t>
        </is>
      </c>
      <c r="B112" t="inlineStr">
        <is>
          <t>2026-05-07</t>
        </is>
      </c>
      <c r="C112" t="inlineStr">
        <is>
          <t>CC-CC003-0040</t>
        </is>
      </c>
      <c r="D112" t="inlineStr">
        <is>
          <t>TAM</t>
        </is>
      </c>
      <c r="E112" t="inlineStr">
        <is>
          <t>The Milk Ministry</t>
        </is>
      </c>
      <c r="F112" t="inlineStr">
        <is>
          <t>Fresh Milk</t>
        </is>
      </c>
      <c r="G112" t="inlineStr">
        <is>
          <t>Carton (12× 2,000ml Bottle)</t>
        </is>
      </c>
      <c r="H112" s="4" t="n">
        <v>8</v>
      </c>
      <c r="I112" s="4" t="n">
        <v>24000</v>
      </c>
      <c r="J112">
        <f>H112*I112</f>
        <v/>
      </c>
      <c r="K112" t="n">
        <v>81.78</v>
      </c>
      <c r="L112" t="n">
        <v>654.24</v>
      </c>
    </row>
    <row r="113">
      <c r="A113" t="inlineStr">
        <is>
          <t>2026-05</t>
        </is>
      </c>
      <c r="B113" t="inlineStr">
        <is>
          <t>2026-05-07</t>
        </is>
      </c>
      <c r="C113" t="inlineStr">
        <is>
          <t>CC-CC001-0083</t>
        </is>
      </c>
      <c r="D113" t="inlineStr">
        <is>
          <t>PJ</t>
        </is>
      </c>
      <c r="E113" t="inlineStr">
        <is>
          <t>The Milk Ministry</t>
        </is>
      </c>
      <c r="F113" t="inlineStr">
        <is>
          <t>Fresh Milk</t>
        </is>
      </c>
      <c r="G113" t="inlineStr">
        <is>
          <t>Carton (12× 2,000ml Bottle)</t>
        </is>
      </c>
      <c r="H113" s="4" t="n">
        <v>8</v>
      </c>
      <c r="I113" s="4" t="n">
        <v>24000</v>
      </c>
      <c r="J113">
        <f>H113*I113</f>
        <v/>
      </c>
      <c r="K113" t="n">
        <v>81.78</v>
      </c>
      <c r="L113" t="n">
        <v>654.24</v>
      </c>
    </row>
    <row r="114">
      <c r="A114" t="inlineStr">
        <is>
          <t>2026-05</t>
        </is>
      </c>
      <c r="B114" t="inlineStr">
        <is>
          <t>2026-05-07</t>
        </is>
      </c>
      <c r="C114" t="inlineStr">
        <is>
          <t>PC-CC003-0041</t>
        </is>
      </c>
      <c r="D114" t="inlineStr">
        <is>
          <t>TAM</t>
        </is>
      </c>
      <c r="E114" t="inlineStr">
        <is>
          <t>Ad-hoc Purchase</t>
        </is>
      </c>
      <c r="F114" t="inlineStr">
        <is>
          <t>Fresh Milk</t>
        </is>
      </c>
      <c r="G114" t="inlineStr">
        <is>
          <t>Bottle (1,000ml)</t>
        </is>
      </c>
      <c r="H114" s="4" t="n">
        <v>3</v>
      </c>
      <c r="I114" s="4" t="n">
        <v>1000</v>
      </c>
      <c r="J114">
        <f>H114*I114</f>
        <v/>
      </c>
      <c r="K114" t="n">
        <v>7.9</v>
      </c>
      <c r="L114" t="n">
        <v>23.7</v>
      </c>
    </row>
    <row r="115">
      <c r="A115" t="inlineStr">
        <is>
          <t>2026-05</t>
        </is>
      </c>
      <c r="B115" t="inlineStr">
        <is>
          <t>2026-05-07</t>
        </is>
      </c>
      <c r="C115" t="inlineStr">
        <is>
          <t>PC-CC003-0043</t>
        </is>
      </c>
      <c r="D115" t="inlineStr">
        <is>
          <t>TAM</t>
        </is>
      </c>
      <c r="E115" t="inlineStr">
        <is>
          <t>Ad-hoc Purchase</t>
        </is>
      </c>
      <c r="F115" t="inlineStr">
        <is>
          <t>Fresh Milk</t>
        </is>
      </c>
      <c r="G115" t="inlineStr">
        <is>
          <t>Carton (12× 1,000ml Bottle)</t>
        </is>
      </c>
      <c r="H115" s="4" t="n">
        <v>6</v>
      </c>
      <c r="I115" s="4" t="n">
        <v>12000</v>
      </c>
      <c r="J115">
        <f>H115*I115</f>
        <v/>
      </c>
      <c r="K115" t="n">
        <v>8.4</v>
      </c>
      <c r="L115" t="n">
        <v>50.4</v>
      </c>
    </row>
    <row r="116">
      <c r="A116" t="inlineStr">
        <is>
          <t>2026-05</t>
        </is>
      </c>
      <c r="B116" t="inlineStr">
        <is>
          <t>2026-05-07</t>
        </is>
      </c>
      <c r="C116" t="inlineStr">
        <is>
          <t>PC-CC003-0044</t>
        </is>
      </c>
      <c r="D116" t="inlineStr">
        <is>
          <t>TAM</t>
        </is>
      </c>
      <c r="E116" t="inlineStr">
        <is>
          <t>Ad-hoc Purchase</t>
        </is>
      </c>
      <c r="F116" t="inlineStr">
        <is>
          <t>Fresh Milk</t>
        </is>
      </c>
      <c r="G116" t="inlineStr">
        <is>
          <t>Bottle (1,000ml)</t>
        </is>
      </c>
      <c r="H116" s="4" t="n">
        <v>3</v>
      </c>
      <c r="I116" s="4" t="n">
        <v>1000</v>
      </c>
      <c r="J116">
        <f>H116*I116</f>
        <v/>
      </c>
      <c r="K116" t="n">
        <v>7.9</v>
      </c>
      <c r="L116" t="n">
        <v>23.7</v>
      </c>
    </row>
    <row r="117">
      <c r="A117" t="inlineStr">
        <is>
          <t>2026-05</t>
        </is>
      </c>
      <c r="B117" t="inlineStr">
        <is>
          <t>2026-05-10</t>
        </is>
      </c>
      <c r="C117" t="inlineStr">
        <is>
          <t>CC-CC001-0100</t>
        </is>
      </c>
      <c r="D117" t="inlineStr">
        <is>
          <t>PJ</t>
        </is>
      </c>
      <c r="E117" t="inlineStr">
        <is>
          <t>The Milk Ministry</t>
        </is>
      </c>
      <c r="F117" t="inlineStr">
        <is>
          <t>Fresh Milk</t>
        </is>
      </c>
      <c r="G117" t="inlineStr">
        <is>
          <t>Carton (12× 2,000ml Bottle)</t>
        </is>
      </c>
      <c r="H117" s="4" t="n">
        <v>6</v>
      </c>
      <c r="I117" s="4" t="n">
        <v>24000</v>
      </c>
      <c r="J117">
        <f>H117*I117</f>
        <v/>
      </c>
      <c r="K117" t="n">
        <v>81.78</v>
      </c>
      <c r="L117" t="n">
        <v>490.68</v>
      </c>
    </row>
    <row r="118">
      <c r="A118" t="inlineStr">
        <is>
          <t>2026-05</t>
        </is>
      </c>
      <c r="B118" t="inlineStr">
        <is>
          <t>2026-05-10</t>
        </is>
      </c>
      <c r="C118" t="inlineStr">
        <is>
          <t>CC-CC002-0082</t>
        </is>
      </c>
      <c r="D118" t="inlineStr">
        <is>
          <t>SA</t>
        </is>
      </c>
      <c r="E118" t="inlineStr">
        <is>
          <t>Milk n Moka</t>
        </is>
      </c>
      <c r="F118" t="inlineStr">
        <is>
          <t>Fresh Milk</t>
        </is>
      </c>
      <c r="G118" t="inlineStr">
        <is>
          <t>Carton (12× 1,000ml Bottle)</t>
        </is>
      </c>
      <c r="H118" s="4" t="n">
        <v>6</v>
      </c>
      <c r="I118" s="4" t="n">
        <v>12000</v>
      </c>
      <c r="J118">
        <f>H118*I118</f>
        <v/>
      </c>
      <c r="K118" t="n">
        <v>85.45</v>
      </c>
      <c r="L118" t="n">
        <v>512.7</v>
      </c>
    </row>
    <row r="119">
      <c r="A119" t="inlineStr">
        <is>
          <t>2026-05</t>
        </is>
      </c>
      <c r="B119" t="inlineStr">
        <is>
          <t>2026-05-10</t>
        </is>
      </c>
      <c r="C119" t="inlineStr">
        <is>
          <t>CC-CC002-0083</t>
        </is>
      </c>
      <c r="D119" t="inlineStr">
        <is>
          <t>SA</t>
        </is>
      </c>
      <c r="E119" t="inlineStr">
        <is>
          <t>Milk n Moka</t>
        </is>
      </c>
      <c r="F119" t="inlineStr">
        <is>
          <t>Fresh Milk</t>
        </is>
      </c>
      <c r="G119" t="inlineStr">
        <is>
          <t>Carton (12× 1,000ml Bottle)</t>
        </is>
      </c>
      <c r="H119" s="4" t="n">
        <v>4</v>
      </c>
      <c r="I119" s="4" t="n">
        <v>12000</v>
      </c>
      <c r="J119">
        <f>H119*I119</f>
        <v/>
      </c>
      <c r="K119" t="n">
        <v>84</v>
      </c>
      <c r="L119" t="n">
        <v>336</v>
      </c>
    </row>
    <row r="120">
      <c r="A120" t="inlineStr">
        <is>
          <t>2026-05</t>
        </is>
      </c>
      <c r="B120" t="inlineStr">
        <is>
          <t>2026-05-11</t>
        </is>
      </c>
      <c r="C120" t="inlineStr">
        <is>
          <t>CC-CC003-0066</t>
        </is>
      </c>
      <c r="D120" t="inlineStr">
        <is>
          <t>TAM</t>
        </is>
      </c>
      <c r="E120" t="inlineStr">
        <is>
          <t>The Milk Ministry</t>
        </is>
      </c>
      <c r="F120" t="inlineStr">
        <is>
          <t>Fresh Milk</t>
        </is>
      </c>
      <c r="G120" t="inlineStr">
        <is>
          <t>Carton (12× 2,000ml Bottle)</t>
        </is>
      </c>
      <c r="H120" s="4" t="n">
        <v>8</v>
      </c>
      <c r="I120" s="4" t="n">
        <v>24000</v>
      </c>
      <c r="J120">
        <f>H120*I120</f>
        <v/>
      </c>
      <c r="K120" t="n">
        <v>81.78</v>
      </c>
      <c r="L120" t="n">
        <v>654.24</v>
      </c>
    </row>
    <row r="121">
      <c r="A121" t="inlineStr">
        <is>
          <t>2026-05</t>
        </is>
      </c>
      <c r="B121" t="inlineStr">
        <is>
          <t>2026-05-11</t>
        </is>
      </c>
      <c r="C121" t="inlineStr">
        <is>
          <t>CC-CC001-0111</t>
        </is>
      </c>
      <c r="D121" t="inlineStr">
        <is>
          <t>PJ</t>
        </is>
      </c>
      <c r="E121" t="inlineStr">
        <is>
          <t>The Milk Ministry</t>
        </is>
      </c>
      <c r="F121" t="inlineStr">
        <is>
          <t>Fresh Milk</t>
        </is>
      </c>
      <c r="G121" t="inlineStr">
        <is>
          <t>Carton (12× 2,000ml Bottle)</t>
        </is>
      </c>
      <c r="H121" s="4" t="n">
        <v>8</v>
      </c>
      <c r="I121" s="4" t="n">
        <v>24000</v>
      </c>
      <c r="J121">
        <f>H121*I121</f>
        <v/>
      </c>
      <c r="K121" t="n">
        <v>81.78</v>
      </c>
      <c r="L121" t="n">
        <v>654.24</v>
      </c>
    </row>
    <row r="122">
      <c r="A122" t="inlineStr">
        <is>
          <t>2026-05</t>
        </is>
      </c>
      <c r="B122" t="inlineStr">
        <is>
          <t>2026-05-13</t>
        </is>
      </c>
      <c r="C122" t="inlineStr">
        <is>
          <t>CC-CC001-0119</t>
        </is>
      </c>
      <c r="D122" t="inlineStr">
        <is>
          <t>PJ</t>
        </is>
      </c>
      <c r="E122" t="inlineStr">
        <is>
          <t>The Milk Ministry</t>
        </is>
      </c>
      <c r="F122" t="inlineStr">
        <is>
          <t>Fresh Milk</t>
        </is>
      </c>
      <c r="G122" t="inlineStr">
        <is>
          <t>Carton (12× 2,000ml Bottle)</t>
        </is>
      </c>
      <c r="H122" s="4" t="n">
        <v>8</v>
      </c>
      <c r="I122" s="4" t="n">
        <v>24000</v>
      </c>
      <c r="J122">
        <f>H122*I122</f>
        <v/>
      </c>
      <c r="K122" t="n">
        <v>84.95999999999999</v>
      </c>
      <c r="L122" t="n">
        <v>679.6799999999999</v>
      </c>
    </row>
    <row r="123">
      <c r="A123" t="inlineStr">
        <is>
          <t>2026-05</t>
        </is>
      </c>
      <c r="B123" t="inlineStr">
        <is>
          <t>2026-05-13</t>
        </is>
      </c>
      <c r="C123" t="inlineStr">
        <is>
          <t>CC-CC003-0069</t>
        </is>
      </c>
      <c r="D123" t="inlineStr">
        <is>
          <t>TAM</t>
        </is>
      </c>
      <c r="E123" t="inlineStr">
        <is>
          <t>The Milk Ministry</t>
        </is>
      </c>
      <c r="F123" t="inlineStr">
        <is>
          <t>Fresh Milk</t>
        </is>
      </c>
      <c r="G123" t="inlineStr">
        <is>
          <t>Carton (12× 2,000ml Bottle)</t>
        </is>
      </c>
      <c r="H123" s="4" t="n">
        <v>6</v>
      </c>
      <c r="I123" s="4" t="n">
        <v>24000</v>
      </c>
      <c r="J123">
        <f>H123*I123</f>
        <v/>
      </c>
      <c r="K123" t="n">
        <v>81.78</v>
      </c>
      <c r="L123" t="n">
        <v>490.68</v>
      </c>
    </row>
    <row r="124">
      <c r="A124" t="inlineStr">
        <is>
          <t>2026-05</t>
        </is>
      </c>
      <c r="B124" t="inlineStr">
        <is>
          <t>2026-05-13</t>
        </is>
      </c>
      <c r="C124" t="inlineStr">
        <is>
          <t>CC-CC002-0099</t>
        </is>
      </c>
      <c r="D124" t="inlineStr">
        <is>
          <t>SA</t>
        </is>
      </c>
      <c r="E124" t="inlineStr">
        <is>
          <t>Milk n Moka</t>
        </is>
      </c>
      <c r="F124" t="inlineStr">
        <is>
          <t>Fresh Milk</t>
        </is>
      </c>
      <c r="G124" t="inlineStr">
        <is>
          <t>Carton (12× 1,000ml Bottle)</t>
        </is>
      </c>
      <c r="H124" s="4" t="n">
        <v>6</v>
      </c>
      <c r="I124" s="4" t="n">
        <v>12000</v>
      </c>
      <c r="J124">
        <f>H124*I124</f>
        <v/>
      </c>
      <c r="K124" t="n">
        <v>85.45</v>
      </c>
      <c r="L124" t="n">
        <v>512.7</v>
      </c>
    </row>
    <row r="125">
      <c r="A125" t="inlineStr">
        <is>
          <t>2026-05</t>
        </is>
      </c>
      <c r="B125" t="inlineStr">
        <is>
          <t>2026-05-13</t>
        </is>
      </c>
      <c r="C125" t="inlineStr">
        <is>
          <t>CC-CC002-0100</t>
        </is>
      </c>
      <c r="D125" t="inlineStr">
        <is>
          <t>SA</t>
        </is>
      </c>
      <c r="E125" t="inlineStr">
        <is>
          <t>Milk n Moka</t>
        </is>
      </c>
      <c r="F125" t="inlineStr">
        <is>
          <t>Fresh Milk</t>
        </is>
      </c>
      <c r="G125" t="inlineStr">
        <is>
          <t>Carton (12× 1,000ml Bottle)</t>
        </is>
      </c>
      <c r="H125" s="4" t="n">
        <v>4</v>
      </c>
      <c r="I125" s="4" t="n">
        <v>12000</v>
      </c>
      <c r="J125">
        <f>H125*I125</f>
        <v/>
      </c>
      <c r="K125" t="n">
        <v>84</v>
      </c>
      <c r="L125" t="n">
        <v>336</v>
      </c>
    </row>
    <row r="126">
      <c r="A126" t="inlineStr">
        <is>
          <t>2026-05</t>
        </is>
      </c>
      <c r="B126" t="inlineStr">
        <is>
          <t>2026-05-14</t>
        </is>
      </c>
      <c r="C126" t="inlineStr">
        <is>
          <t>PC-CC001-0114</t>
        </is>
      </c>
      <c r="D126" t="inlineStr">
        <is>
          <t>PJ</t>
        </is>
      </c>
      <c r="E126" t="inlineStr">
        <is>
          <t>Ad-hoc Purchase</t>
        </is>
      </c>
      <c r="F126" t="inlineStr">
        <is>
          <t>Fresh Milk</t>
        </is>
      </c>
      <c r="G126" t="inlineStr">
        <is>
          <t>Bottle (1,000ml)</t>
        </is>
      </c>
      <c r="H126" s="4" t="n">
        <v>12</v>
      </c>
      <c r="I126" s="4" t="n">
        <v>1000</v>
      </c>
      <c r="J126">
        <f>H126*I126</f>
        <v/>
      </c>
      <c r="K126" t="n">
        <v>16.56</v>
      </c>
      <c r="L126" t="n">
        <v>198.7</v>
      </c>
    </row>
    <row r="127">
      <c r="A127" t="inlineStr">
        <is>
          <t>2026-05</t>
        </is>
      </c>
      <c r="B127" t="inlineStr">
        <is>
          <t>2026-05-14</t>
        </is>
      </c>
      <c r="C127" t="inlineStr">
        <is>
          <t>PC-CC003-0060</t>
        </is>
      </c>
      <c r="D127" t="inlineStr">
        <is>
          <t>TAM</t>
        </is>
      </c>
      <c r="E127" t="inlineStr">
        <is>
          <t>Ad-hoc Purchase</t>
        </is>
      </c>
      <c r="F127" t="inlineStr">
        <is>
          <t>Fresh Milk</t>
        </is>
      </c>
      <c r="G127" t="inlineStr">
        <is>
          <t>Carton (12× 2,000ml Bottle)</t>
        </is>
      </c>
      <c r="H127" s="4" t="n">
        <v>1</v>
      </c>
      <c r="I127" s="4" t="n">
        <v>24000</v>
      </c>
      <c r="J127">
        <f>H127*I127</f>
        <v/>
      </c>
      <c r="K127" t="n">
        <v>194.06</v>
      </c>
      <c r="L127" t="n">
        <v>194.06</v>
      </c>
    </row>
    <row r="128">
      <c r="A128" t="inlineStr">
        <is>
          <t>2026-05</t>
        </is>
      </c>
      <c r="B128" t="inlineStr">
        <is>
          <t>2026-05-14</t>
        </is>
      </c>
      <c r="C128" t="inlineStr">
        <is>
          <t>PC-CC001-0116</t>
        </is>
      </c>
      <c r="D128" t="inlineStr">
        <is>
          <t>PJ</t>
        </is>
      </c>
      <c r="E128" t="inlineStr">
        <is>
          <t>Ad-hoc Purchase</t>
        </is>
      </c>
      <c r="F128" t="inlineStr">
        <is>
          <t>Fresh Milk</t>
        </is>
      </c>
      <c r="G128" t="inlineStr">
        <is>
          <t>2,000ml Bottle</t>
        </is>
      </c>
      <c r="H128" s="4" t="n">
        <v>5</v>
      </c>
      <c r="I128" s="4" t="n">
        <v>2000</v>
      </c>
      <c r="J128">
        <f>H128*I128</f>
        <v/>
      </c>
      <c r="K128" t="n">
        <v>16.2</v>
      </c>
      <c r="L128" t="n">
        <v>81</v>
      </c>
    </row>
    <row r="129">
      <c r="A129" t="inlineStr">
        <is>
          <t>2026-05</t>
        </is>
      </c>
      <c r="B129" t="inlineStr">
        <is>
          <t>2026-05-19</t>
        </is>
      </c>
      <c r="C129" t="inlineStr">
        <is>
          <t>CC-CC001-0136</t>
        </is>
      </c>
      <c r="D129" t="inlineStr">
        <is>
          <t>PJ</t>
        </is>
      </c>
      <c r="E129" t="inlineStr">
        <is>
          <t>The Milk Ministry</t>
        </is>
      </c>
      <c r="F129" t="inlineStr">
        <is>
          <t>Fresh Milk</t>
        </is>
      </c>
      <c r="G129" t="inlineStr">
        <is>
          <t>Carton (12× 2,000ml Bottle)</t>
        </is>
      </c>
      <c r="H129" s="4" t="n">
        <v>7</v>
      </c>
      <c r="I129" s="4" t="n">
        <v>24000</v>
      </c>
      <c r="J129">
        <f>H129*I129</f>
        <v/>
      </c>
      <c r="K129" t="n">
        <v>84.95999999999999</v>
      </c>
      <c r="L129" t="n">
        <v>594.72</v>
      </c>
    </row>
    <row r="130">
      <c r="A130" t="inlineStr">
        <is>
          <t>2026-05</t>
        </is>
      </c>
      <c r="B130" t="inlineStr">
        <is>
          <t>2026-05-19</t>
        </is>
      </c>
      <c r="C130" t="inlineStr">
        <is>
          <t>CC-CC003-0088</t>
        </is>
      </c>
      <c r="D130" t="inlineStr">
        <is>
          <t>TAM</t>
        </is>
      </c>
      <c r="E130" t="inlineStr">
        <is>
          <t>The Milk Ministry</t>
        </is>
      </c>
      <c r="F130" t="inlineStr">
        <is>
          <t>Fresh Milk</t>
        </is>
      </c>
      <c r="G130" t="inlineStr">
        <is>
          <t>Carton (12× 2,000ml Bottle)</t>
        </is>
      </c>
      <c r="H130" s="4" t="n">
        <v>7</v>
      </c>
      <c r="I130" s="4" t="n">
        <v>24000</v>
      </c>
      <c r="J130">
        <f>H130*I130</f>
        <v/>
      </c>
      <c r="K130" t="n">
        <v>84.95999999999999</v>
      </c>
      <c r="L130" t="n">
        <v>594.72</v>
      </c>
    </row>
    <row r="131">
      <c r="A131" t="inlineStr">
        <is>
          <t>2026-05</t>
        </is>
      </c>
      <c r="B131" t="inlineStr">
        <is>
          <t>2026-05-19</t>
        </is>
      </c>
      <c r="C131" t="inlineStr">
        <is>
          <t>CC-CC002-0125</t>
        </is>
      </c>
      <c r="D131" t="inlineStr">
        <is>
          <t>SA</t>
        </is>
      </c>
      <c r="E131" t="inlineStr">
        <is>
          <t>Milk n Moka</t>
        </is>
      </c>
      <c r="F131" t="inlineStr">
        <is>
          <t>Fresh Milk</t>
        </is>
      </c>
      <c r="G131" t="inlineStr">
        <is>
          <t>Carton (12× 1,000ml Bottle)</t>
        </is>
      </c>
      <c r="H131" s="4" t="n">
        <v>5</v>
      </c>
      <c r="I131" s="4" t="n">
        <v>12000</v>
      </c>
      <c r="J131">
        <f>H131*I131</f>
        <v/>
      </c>
      <c r="K131" t="n">
        <v>85.45</v>
      </c>
      <c r="L131" t="n">
        <v>427.25</v>
      </c>
    </row>
    <row r="132">
      <c r="A132" t="inlineStr">
        <is>
          <t>2026-05</t>
        </is>
      </c>
      <c r="B132" t="inlineStr">
        <is>
          <t>2026-05-24</t>
        </is>
      </c>
      <c r="C132" t="inlineStr">
        <is>
          <t>CC-CC001-0144</t>
        </is>
      </c>
      <c r="D132" t="inlineStr">
        <is>
          <t>PJ</t>
        </is>
      </c>
      <c r="E132" t="inlineStr">
        <is>
          <t>The Milk Ministry</t>
        </is>
      </c>
      <c r="F132" t="inlineStr">
        <is>
          <t>Fresh Milk</t>
        </is>
      </c>
      <c r="G132" t="inlineStr">
        <is>
          <t>Carton (12× 2,000ml Bottle)</t>
        </is>
      </c>
      <c r="H132" s="4" t="n">
        <v>8</v>
      </c>
      <c r="I132" s="4" t="n">
        <v>24000</v>
      </c>
      <c r="J132">
        <f>H132*I132</f>
        <v/>
      </c>
      <c r="K132" t="n">
        <v>84.95999999999999</v>
      </c>
      <c r="L132" t="n">
        <v>679.6799999999999</v>
      </c>
    </row>
    <row r="133">
      <c r="A133" t="inlineStr">
        <is>
          <t>2026-05</t>
        </is>
      </c>
      <c r="B133" t="inlineStr">
        <is>
          <t>2026-05-24</t>
        </is>
      </c>
      <c r="C133" t="inlineStr">
        <is>
          <t>CC-CC003-0095</t>
        </is>
      </c>
      <c r="D133" t="inlineStr">
        <is>
          <t>TAM</t>
        </is>
      </c>
      <c r="E133" t="inlineStr">
        <is>
          <t>The Milk Ministry</t>
        </is>
      </c>
      <c r="F133" t="inlineStr">
        <is>
          <t>Fresh Milk</t>
        </is>
      </c>
      <c r="G133" t="inlineStr">
        <is>
          <t>Carton (12× 2,000ml Bottle)</t>
        </is>
      </c>
      <c r="H133" s="4" t="n">
        <v>8</v>
      </c>
      <c r="I133" s="4" t="n">
        <v>24000</v>
      </c>
      <c r="J133">
        <f>H133*I133</f>
        <v/>
      </c>
      <c r="K133" t="n">
        <v>84.95999999999999</v>
      </c>
      <c r="L133" t="n">
        <v>679.6799999999999</v>
      </c>
    </row>
    <row r="134">
      <c r="A134" t="inlineStr">
        <is>
          <t>2026-05</t>
        </is>
      </c>
      <c r="B134" t="inlineStr">
        <is>
          <t>2026-05-24</t>
        </is>
      </c>
      <c r="C134" t="inlineStr">
        <is>
          <t>CC-CC001-0145</t>
        </is>
      </c>
      <c r="D134" t="inlineStr">
        <is>
          <t>PJ</t>
        </is>
      </c>
      <c r="E134" t="inlineStr">
        <is>
          <t>The Milk Ministry</t>
        </is>
      </c>
      <c r="F134" t="inlineStr">
        <is>
          <t>Fresh Milk</t>
        </is>
      </c>
      <c r="G134" t="inlineStr">
        <is>
          <t>Carton (12× 2,000ml Bottle)</t>
        </is>
      </c>
      <c r="H134" s="4" t="n">
        <v>7</v>
      </c>
      <c r="I134" s="4" t="n">
        <v>24000</v>
      </c>
      <c r="J134">
        <f>H134*I134</f>
        <v/>
      </c>
      <c r="K134" t="n">
        <v>84.95999999999999</v>
      </c>
      <c r="L134" t="n">
        <v>594.72</v>
      </c>
    </row>
    <row r="135">
      <c r="A135" t="inlineStr">
        <is>
          <t>2026-05</t>
        </is>
      </c>
      <c r="B135" t="inlineStr">
        <is>
          <t>2026-05-24</t>
        </is>
      </c>
      <c r="C135" t="inlineStr">
        <is>
          <t>CC-CC003-0096</t>
        </is>
      </c>
      <c r="D135" t="inlineStr">
        <is>
          <t>TAM</t>
        </is>
      </c>
      <c r="E135" t="inlineStr">
        <is>
          <t>The Milk Ministry</t>
        </is>
      </c>
      <c r="F135" t="inlineStr">
        <is>
          <t>Fresh Milk</t>
        </is>
      </c>
      <c r="G135" t="inlineStr">
        <is>
          <t>Carton (12× 2,000ml Bottle)</t>
        </is>
      </c>
      <c r="H135" s="4" t="n">
        <v>5</v>
      </c>
      <c r="I135" s="4" t="n">
        <v>24000</v>
      </c>
      <c r="J135">
        <f>H135*I135</f>
        <v/>
      </c>
      <c r="K135" t="n">
        <v>84.95999999999999</v>
      </c>
      <c r="L135" t="n">
        <v>424.8</v>
      </c>
    </row>
    <row r="136">
      <c r="A136" t="inlineStr">
        <is>
          <t>2026-05</t>
        </is>
      </c>
      <c r="B136" t="inlineStr">
        <is>
          <t>2026-05-24</t>
        </is>
      </c>
      <c r="C136" t="inlineStr">
        <is>
          <t>PC-CC001-0152</t>
        </is>
      </c>
      <c r="D136" t="inlineStr">
        <is>
          <t>PJ</t>
        </is>
      </c>
      <c r="E136" t="inlineStr">
        <is>
          <t>Ad-hoc Purchase</t>
        </is>
      </c>
      <c r="F136" t="inlineStr">
        <is>
          <t>Fresh Milk</t>
        </is>
      </c>
      <c r="G136" t="inlineStr">
        <is>
          <t>Carton (12× 2,000ml Bottle)</t>
        </is>
      </c>
      <c r="H136" s="4" t="n">
        <v>1</v>
      </c>
      <c r="I136" s="4" t="n">
        <v>24000</v>
      </c>
      <c r="J136">
        <f>H136*I136</f>
        <v/>
      </c>
      <c r="K136" t="n">
        <v>198.7</v>
      </c>
      <c r="L136" t="n">
        <v>198.7</v>
      </c>
    </row>
    <row r="137">
      <c r="A137" t="inlineStr">
        <is>
          <t>2026-05</t>
        </is>
      </c>
      <c r="B137" t="inlineStr">
        <is>
          <t>2026-05-24</t>
        </is>
      </c>
      <c r="C137" t="inlineStr">
        <is>
          <t>PC-CC003-0073</t>
        </is>
      </c>
      <c r="D137" t="inlineStr">
        <is>
          <t>TAM</t>
        </is>
      </c>
      <c r="E137" t="inlineStr">
        <is>
          <t>Ad-hoc Purchase</t>
        </is>
      </c>
      <c r="F137" t="inlineStr">
        <is>
          <t>Fresh Milk</t>
        </is>
      </c>
      <c r="G137" t="inlineStr">
        <is>
          <t>Carton (12× 2,000ml Bottle)</t>
        </is>
      </c>
      <c r="H137" s="4" t="n">
        <v>1</v>
      </c>
      <c r="I137" s="4" t="n">
        <v>24000</v>
      </c>
      <c r="J137">
        <f>H137*I137</f>
        <v/>
      </c>
      <c r="K137" t="n">
        <v>194.06</v>
      </c>
      <c r="L137" t="n">
        <v>194.06</v>
      </c>
    </row>
    <row r="138">
      <c r="A138" t="inlineStr">
        <is>
          <t>2026-05</t>
        </is>
      </c>
      <c r="B138" t="inlineStr">
        <is>
          <t>2026-05-24</t>
        </is>
      </c>
      <c r="C138" t="inlineStr">
        <is>
          <t>PC-CC001-0153</t>
        </is>
      </c>
      <c r="D138" t="inlineStr">
        <is>
          <t>PJ</t>
        </is>
      </c>
      <c r="E138" t="inlineStr">
        <is>
          <t>Ad-hoc Purchase</t>
        </is>
      </c>
      <c r="F138" t="inlineStr">
        <is>
          <t>Fresh Milk</t>
        </is>
      </c>
      <c r="G138" t="inlineStr">
        <is>
          <t>2,000ml Bottle</t>
        </is>
      </c>
      <c r="H138" s="4" t="n">
        <v>10</v>
      </c>
      <c r="I138" s="4" t="n">
        <v>2000</v>
      </c>
      <c r="J138">
        <f>H138*I138</f>
        <v/>
      </c>
      <c r="K138" t="n">
        <v>17.66</v>
      </c>
      <c r="L138" t="n">
        <v>176.6</v>
      </c>
    </row>
    <row r="139">
      <c r="A139" t="inlineStr">
        <is>
          <t>2026-05</t>
        </is>
      </c>
      <c r="B139" t="inlineStr">
        <is>
          <t>2026-05-24</t>
        </is>
      </c>
      <c r="C139" t="inlineStr">
        <is>
          <t>PC-CC002-0078</t>
        </is>
      </c>
      <c r="D139" t="inlineStr">
        <is>
          <t>SA</t>
        </is>
      </c>
      <c r="E139" t="inlineStr">
        <is>
          <t>Ad-hoc Purchase</t>
        </is>
      </c>
      <c r="F139" t="inlineStr">
        <is>
          <t>Fresh Milk</t>
        </is>
      </c>
      <c r="G139" t="inlineStr">
        <is>
          <t>Bottle (1,000ml)</t>
        </is>
      </c>
      <c r="H139" s="4" t="n">
        <v>10</v>
      </c>
      <c r="I139" s="4" t="n">
        <v>1000</v>
      </c>
      <c r="J139">
        <f>H139*I139</f>
        <v/>
      </c>
      <c r="K139" t="n">
        <v>12.56</v>
      </c>
      <c r="L139" t="n">
        <v>125.6</v>
      </c>
    </row>
    <row r="140">
      <c r="A140" t="inlineStr">
        <is>
          <t>2026-05</t>
        </is>
      </c>
      <c r="B140" t="inlineStr">
        <is>
          <t>2026-05-24</t>
        </is>
      </c>
      <c r="C140" t="inlineStr">
        <is>
          <t>PC-CC001-0166</t>
        </is>
      </c>
      <c r="D140" t="inlineStr">
        <is>
          <t>PJ</t>
        </is>
      </c>
      <c r="E140" t="inlineStr">
        <is>
          <t>Ad-hoc Purchase</t>
        </is>
      </c>
      <c r="F140" t="inlineStr">
        <is>
          <t>Fresh Milk</t>
        </is>
      </c>
      <c r="G140" t="inlineStr">
        <is>
          <t>Carton (12× 2,000ml Bottle)</t>
        </is>
      </c>
      <c r="H140" s="4" t="n">
        <v>6</v>
      </c>
      <c r="I140" s="4" t="n">
        <v>24000</v>
      </c>
      <c r="J140">
        <f>H140*I140</f>
        <v/>
      </c>
      <c r="K140" t="n">
        <v>16.2</v>
      </c>
      <c r="L140" t="n">
        <v>97.2</v>
      </c>
    </row>
    <row r="141">
      <c r="A141" t="inlineStr">
        <is>
          <t>2026-05</t>
        </is>
      </c>
      <c r="B141" t="inlineStr">
        <is>
          <t>2026-05-24</t>
        </is>
      </c>
      <c r="C141" t="inlineStr">
        <is>
          <t>PC-CC001-0167</t>
        </is>
      </c>
      <c r="D141" t="inlineStr">
        <is>
          <t>PJ</t>
        </is>
      </c>
      <c r="E141" t="inlineStr">
        <is>
          <t>Ad-hoc Purchase</t>
        </is>
      </c>
      <c r="F141" t="inlineStr">
        <is>
          <t>Fresh Milk</t>
        </is>
      </c>
      <c r="G141" t="inlineStr">
        <is>
          <t>Bottle (1,000ml)</t>
        </is>
      </c>
      <c r="H141" s="4" t="n">
        <v>6</v>
      </c>
      <c r="I141" s="4" t="n">
        <v>1000</v>
      </c>
      <c r="J141">
        <f>H141*I141</f>
        <v/>
      </c>
      <c r="K141" t="n">
        <v>16.2</v>
      </c>
      <c r="L141" t="n">
        <v>97.2</v>
      </c>
    </row>
    <row r="142">
      <c r="A142" t="inlineStr">
        <is>
          <t>2026-05</t>
        </is>
      </c>
      <c r="B142" t="inlineStr">
        <is>
          <t>2026-05-25</t>
        </is>
      </c>
      <c r="C142" t="inlineStr">
        <is>
          <t>CC-CC002-0143</t>
        </is>
      </c>
      <c r="D142" t="inlineStr">
        <is>
          <t>SA</t>
        </is>
      </c>
      <c r="E142" t="inlineStr">
        <is>
          <t>Milk n Moka</t>
        </is>
      </c>
      <c r="F142" t="inlineStr">
        <is>
          <t>Fresh Milk</t>
        </is>
      </c>
      <c r="G142" t="inlineStr">
        <is>
          <t>Carton (12× 1,000ml Bottle)</t>
        </is>
      </c>
      <c r="H142" s="4" t="n">
        <v>5</v>
      </c>
      <c r="I142" s="4" t="n">
        <v>12000</v>
      </c>
      <c r="J142">
        <f>H142*I142</f>
        <v/>
      </c>
      <c r="K142" t="n">
        <v>85.45</v>
      </c>
      <c r="L142" t="n">
        <v>427.25</v>
      </c>
    </row>
    <row r="143">
      <c r="A143" t="inlineStr">
        <is>
          <t>2026-05</t>
        </is>
      </c>
      <c r="B143" t="inlineStr">
        <is>
          <t>2026-05-25</t>
        </is>
      </c>
      <c r="C143" t="inlineStr">
        <is>
          <t>PC-CC001-0179</t>
        </is>
      </c>
      <c r="D143" t="inlineStr">
        <is>
          <t>PJ</t>
        </is>
      </c>
      <c r="E143" t="inlineStr">
        <is>
          <t>Ad-hoc Purchase</t>
        </is>
      </c>
      <c r="F143" t="inlineStr">
        <is>
          <t>Fresh Milk</t>
        </is>
      </c>
      <c r="G143" t="inlineStr">
        <is>
          <t>2,000ml Bottle</t>
        </is>
      </c>
      <c r="H143" s="4" t="n">
        <v>9</v>
      </c>
      <c r="I143" s="4" t="n">
        <v>2000</v>
      </c>
      <c r="J143">
        <f>H143*I143</f>
        <v/>
      </c>
      <c r="K143" t="n">
        <v>16.2</v>
      </c>
      <c r="L143" t="n">
        <v>145.8</v>
      </c>
    </row>
    <row r="144">
      <c r="A144" t="inlineStr">
        <is>
          <t>2026-05</t>
        </is>
      </c>
      <c r="B144" t="inlineStr">
        <is>
          <t>2026-05-27</t>
        </is>
      </c>
      <c r="C144" t="inlineStr">
        <is>
          <t>CC-CC002-0144</t>
        </is>
      </c>
      <c r="D144" t="inlineStr">
        <is>
          <t>SA</t>
        </is>
      </c>
      <c r="E144" t="inlineStr">
        <is>
          <t>Milk n Moka</t>
        </is>
      </c>
      <c r="F144" t="inlineStr">
        <is>
          <t>Fresh Milk</t>
        </is>
      </c>
      <c r="G144" t="inlineStr">
        <is>
          <t>Carton (12× 1,000ml Bottle)</t>
        </is>
      </c>
      <c r="H144" s="4" t="n">
        <v>6</v>
      </c>
      <c r="I144" s="4" t="n">
        <v>12000</v>
      </c>
      <c r="J144">
        <f>H144*I144</f>
        <v/>
      </c>
      <c r="K144" t="n">
        <v>84</v>
      </c>
      <c r="L144" t="n">
        <v>504</v>
      </c>
    </row>
    <row r="145">
      <c r="A145" t="inlineStr">
        <is>
          <t>2026-05</t>
        </is>
      </c>
      <c r="B145" t="inlineStr">
        <is>
          <t>2026-05-31</t>
        </is>
      </c>
      <c r="C145" t="inlineStr">
        <is>
          <t>CC-CC002-0154</t>
        </is>
      </c>
      <c r="D145" t="inlineStr">
        <is>
          <t>SA</t>
        </is>
      </c>
      <c r="E145" t="inlineStr">
        <is>
          <t>Milk n Moka</t>
        </is>
      </c>
      <c r="F145" t="inlineStr">
        <is>
          <t>Fresh Milk</t>
        </is>
      </c>
      <c r="G145" t="inlineStr">
        <is>
          <t>Carton (12× 1,000ml Bottle)</t>
        </is>
      </c>
      <c r="H145" s="4" t="n">
        <v>8</v>
      </c>
      <c r="I145" s="4" t="n">
        <v>12000</v>
      </c>
      <c r="J145">
        <f>H145*I145</f>
        <v/>
      </c>
      <c r="K145" t="n">
        <v>86.40000000000001</v>
      </c>
      <c r="L145" t="n">
        <v>691.2</v>
      </c>
    </row>
    <row r="146">
      <c r="A146" t="inlineStr">
        <is>
          <t>2026-05</t>
        </is>
      </c>
      <c r="B146" t="inlineStr">
        <is>
          <t>2026-05-31</t>
        </is>
      </c>
      <c r="C146" t="inlineStr">
        <is>
          <t>CC-CC001-0164</t>
        </is>
      </c>
      <c r="D146" t="inlineStr">
        <is>
          <t>PJ</t>
        </is>
      </c>
      <c r="E146" t="inlineStr">
        <is>
          <t>The Milk Ministry</t>
        </is>
      </c>
      <c r="F146" t="inlineStr">
        <is>
          <t>Fresh Milk</t>
        </is>
      </c>
      <c r="G146" t="inlineStr">
        <is>
          <t>Carton (12× 2,000ml Bottle)</t>
        </is>
      </c>
      <c r="H146" s="4" t="n">
        <v>8</v>
      </c>
      <c r="I146" s="4" t="n">
        <v>24000</v>
      </c>
      <c r="J146">
        <f>H146*I146</f>
        <v/>
      </c>
      <c r="K146" t="n">
        <v>81.78</v>
      </c>
      <c r="L146" t="n">
        <v>654.24</v>
      </c>
    </row>
    <row r="147">
      <c r="A147" t="inlineStr">
        <is>
          <t>2026-05</t>
        </is>
      </c>
      <c r="B147" t="inlineStr">
        <is>
          <t>2026-05-31</t>
        </is>
      </c>
      <c r="C147" t="inlineStr">
        <is>
          <t>CC-CC003-0112</t>
        </is>
      </c>
      <c r="D147" t="inlineStr">
        <is>
          <t>TAM</t>
        </is>
      </c>
      <c r="E147" t="inlineStr">
        <is>
          <t>The Milk Ministry</t>
        </is>
      </c>
      <c r="F147" t="inlineStr">
        <is>
          <t>Fresh Milk</t>
        </is>
      </c>
      <c r="G147" t="inlineStr">
        <is>
          <t>Carton (12× 2,000ml Bottle)</t>
        </is>
      </c>
      <c r="H147" s="4" t="n">
        <v>4</v>
      </c>
      <c r="I147" s="4" t="n">
        <v>24000</v>
      </c>
      <c r="J147">
        <f>H147*I147</f>
        <v/>
      </c>
      <c r="K147" t="n">
        <v>84.95999999999999</v>
      </c>
      <c r="L147" t="n">
        <v>339.84</v>
      </c>
    </row>
    <row r="148">
      <c r="A148" t="inlineStr">
        <is>
          <t>2026-06</t>
        </is>
      </c>
      <c r="B148" t="inlineStr">
        <is>
          <t>2026-06-04</t>
        </is>
      </c>
      <c r="C148" t="inlineStr">
        <is>
          <t>CC-CC002-0166</t>
        </is>
      </c>
      <c r="D148" t="inlineStr">
        <is>
          <t>SA</t>
        </is>
      </c>
      <c r="E148" t="inlineStr">
        <is>
          <t>Milk n Moka</t>
        </is>
      </c>
      <c r="F148" t="inlineStr">
        <is>
          <t>Fresh Milk</t>
        </is>
      </c>
      <c r="G148" t="inlineStr">
        <is>
          <t>Carton (12× 1,000ml Bottle)</t>
        </is>
      </c>
      <c r="H148" s="4" t="n">
        <v>4</v>
      </c>
      <c r="I148" s="4" t="n">
        <v>12000</v>
      </c>
      <c r="J148">
        <f>H148*I148</f>
        <v/>
      </c>
      <c r="K148" t="n">
        <v>86.40000000000001</v>
      </c>
      <c r="L148" t="n">
        <v>345.6</v>
      </c>
    </row>
    <row r="149">
      <c r="A149" t="inlineStr">
        <is>
          <t>2026-06</t>
        </is>
      </c>
      <c r="B149" t="inlineStr">
        <is>
          <t>2026-06-07</t>
        </is>
      </c>
      <c r="C149" t="inlineStr">
        <is>
          <t>CC-CC001-0184</t>
        </is>
      </c>
      <c r="D149" t="inlineStr">
        <is>
          <t>PJ</t>
        </is>
      </c>
      <c r="E149" t="inlineStr">
        <is>
          <t>The Milk Ministry</t>
        </is>
      </c>
      <c r="F149" t="inlineStr">
        <is>
          <t>Fresh Milk</t>
        </is>
      </c>
      <c r="G149" t="inlineStr">
        <is>
          <t>Carton (12× 2,000ml Bottle)</t>
        </is>
      </c>
      <c r="H149" s="4" t="n">
        <v>8</v>
      </c>
      <c r="I149" s="4" t="n">
        <v>24000</v>
      </c>
      <c r="J149">
        <f>H149*I149</f>
        <v/>
      </c>
      <c r="K149" t="n">
        <v>84.95999999999999</v>
      </c>
      <c r="L149" t="n">
        <v>679.6799999999999</v>
      </c>
    </row>
    <row r="150">
      <c r="A150" t="inlineStr">
        <is>
          <t>2026-06</t>
        </is>
      </c>
      <c r="B150" t="inlineStr">
        <is>
          <t>2026-06-07</t>
        </is>
      </c>
      <c r="C150" t="inlineStr">
        <is>
          <t>CC-CC003-0126</t>
        </is>
      </c>
      <c r="D150" t="inlineStr">
        <is>
          <t>TAM</t>
        </is>
      </c>
      <c r="E150" t="inlineStr">
        <is>
          <t>The Milk Ministry</t>
        </is>
      </c>
      <c r="F150" t="inlineStr">
        <is>
          <t>Fresh Milk</t>
        </is>
      </c>
      <c r="G150" t="inlineStr">
        <is>
          <t>Carton (12× 2,000ml Bottle)</t>
        </is>
      </c>
      <c r="H150" s="4" t="n">
        <v>7</v>
      </c>
      <c r="I150" s="4" t="n">
        <v>24000</v>
      </c>
      <c r="J150">
        <f>H150*I150</f>
        <v/>
      </c>
      <c r="K150" t="n">
        <v>84.95999999999999</v>
      </c>
      <c r="L150" t="n">
        <v>594.72</v>
      </c>
    </row>
    <row r="151">
      <c r="A151" t="inlineStr">
        <is>
          <t>2026-06</t>
        </is>
      </c>
      <c r="B151" t="inlineStr">
        <is>
          <t>2026-06-07</t>
        </is>
      </c>
      <c r="C151" t="inlineStr">
        <is>
          <t>CC-CC002-0174</t>
        </is>
      </c>
      <c r="D151" t="inlineStr">
        <is>
          <t>SA</t>
        </is>
      </c>
      <c r="E151" t="inlineStr">
        <is>
          <t>Milk n Moka</t>
        </is>
      </c>
      <c r="F151" t="inlineStr">
        <is>
          <t>Fresh Milk</t>
        </is>
      </c>
      <c r="G151" t="inlineStr">
        <is>
          <t>Carton (12× 1,000ml Bottle)</t>
        </is>
      </c>
      <c r="H151" s="4" t="n">
        <v>5</v>
      </c>
      <c r="I151" s="4" t="n">
        <v>12000</v>
      </c>
      <c r="J151">
        <f>H151*I151</f>
        <v/>
      </c>
      <c r="K151" t="n">
        <v>86.40000000000001</v>
      </c>
      <c r="L151" t="n">
        <v>432</v>
      </c>
    </row>
    <row r="152">
      <c r="A152" t="inlineStr">
        <is>
          <t>2026-06</t>
        </is>
      </c>
      <c r="B152" t="inlineStr">
        <is>
          <t>2026-06-09</t>
        </is>
      </c>
      <c r="C152" t="inlineStr">
        <is>
          <t>CC-CC001-0197</t>
        </is>
      </c>
      <c r="D152" t="inlineStr">
        <is>
          <t>PJ</t>
        </is>
      </c>
      <c r="E152" t="inlineStr">
        <is>
          <t>The Milk Ministry</t>
        </is>
      </c>
      <c r="F152" t="inlineStr">
        <is>
          <t>Fresh Milk</t>
        </is>
      </c>
      <c r="G152" t="inlineStr">
        <is>
          <t>Carton (12× 2,000ml Bottle)</t>
        </is>
      </c>
      <c r="H152" s="4" t="n">
        <v>7</v>
      </c>
      <c r="I152" s="4" t="n">
        <v>24000</v>
      </c>
      <c r="J152">
        <f>H152*I152</f>
        <v/>
      </c>
      <c r="K152" t="n">
        <v>84.95999999999999</v>
      </c>
      <c r="L152" t="n">
        <v>594.72</v>
      </c>
    </row>
    <row r="153">
      <c r="A153" t="inlineStr">
        <is>
          <t>2026-06</t>
        </is>
      </c>
      <c r="B153" t="inlineStr">
        <is>
          <t>2026-06-09</t>
        </is>
      </c>
      <c r="C153" t="inlineStr">
        <is>
          <t>CC-CC002-0184</t>
        </is>
      </c>
      <c r="D153" t="inlineStr">
        <is>
          <t>SA</t>
        </is>
      </c>
      <c r="E153" t="inlineStr">
        <is>
          <t>Milk n Moka</t>
        </is>
      </c>
      <c r="F153" t="inlineStr">
        <is>
          <t>Fresh Milk</t>
        </is>
      </c>
      <c r="G153" t="inlineStr">
        <is>
          <t>Carton (12× 1,000ml Bottle)</t>
        </is>
      </c>
      <c r="H153" s="4" t="n">
        <v>5</v>
      </c>
      <c r="I153" s="4" t="n">
        <v>12000</v>
      </c>
      <c r="J153">
        <f>H153*I153</f>
        <v/>
      </c>
      <c r="K153" t="n">
        <v>86.40000000000001</v>
      </c>
      <c r="L153" t="n">
        <v>432</v>
      </c>
    </row>
    <row r="154">
      <c r="A154" t="inlineStr">
        <is>
          <t>2026-06</t>
        </is>
      </c>
      <c r="B154" t="inlineStr">
        <is>
          <t>2026-06-11</t>
        </is>
      </c>
      <c r="C154" t="inlineStr">
        <is>
          <t>CC-CC001-0202</t>
        </is>
      </c>
      <c r="D154" t="inlineStr">
        <is>
          <t>PJ</t>
        </is>
      </c>
      <c r="E154" t="inlineStr">
        <is>
          <t>The Milk Ministry</t>
        </is>
      </c>
      <c r="F154" t="inlineStr">
        <is>
          <t>Fresh Milk</t>
        </is>
      </c>
      <c r="G154" t="inlineStr">
        <is>
          <t>Carton (12× 2,000ml Bottle)</t>
        </is>
      </c>
      <c r="H154" s="4" t="n">
        <v>7</v>
      </c>
      <c r="I154" s="4" t="n">
        <v>24000</v>
      </c>
      <c r="J154">
        <f>H154*I154</f>
        <v/>
      </c>
      <c r="K154" t="n">
        <v>84.95999999999999</v>
      </c>
      <c r="L154" t="n">
        <v>594.72</v>
      </c>
    </row>
    <row r="155">
      <c r="A155" t="inlineStr">
        <is>
          <t>2026-06</t>
        </is>
      </c>
      <c r="B155" t="inlineStr">
        <is>
          <t>2026-06-11</t>
        </is>
      </c>
      <c r="C155" t="inlineStr">
        <is>
          <t>CC-CC002-0188</t>
        </is>
      </c>
      <c r="D155" t="inlineStr">
        <is>
          <t>SA</t>
        </is>
      </c>
      <c r="E155" t="inlineStr">
        <is>
          <t>Milk n Moka</t>
        </is>
      </c>
      <c r="F155" t="inlineStr">
        <is>
          <t>Fresh Milk</t>
        </is>
      </c>
      <c r="G155" t="inlineStr">
        <is>
          <t>Carton (12× 1,000ml Bottle)</t>
        </is>
      </c>
      <c r="H155" s="4" t="n">
        <v>5</v>
      </c>
      <c r="I155" s="4" t="n">
        <v>12000</v>
      </c>
      <c r="J155">
        <f>H155*I155</f>
        <v/>
      </c>
      <c r="K155" t="n">
        <v>86.40000000000001</v>
      </c>
      <c r="L155" t="n">
        <v>432</v>
      </c>
    </row>
    <row r="156">
      <c r="A156" t="inlineStr">
        <is>
          <t>2026-06</t>
        </is>
      </c>
      <c r="B156" t="inlineStr">
        <is>
          <t>2026-06-11</t>
        </is>
      </c>
      <c r="C156" t="inlineStr">
        <is>
          <t>CC-CC003-0134</t>
        </is>
      </c>
      <c r="D156" t="inlineStr">
        <is>
          <t>TAM</t>
        </is>
      </c>
      <c r="E156" t="inlineStr">
        <is>
          <t>The Milk Ministry</t>
        </is>
      </c>
      <c r="F156" t="inlineStr">
        <is>
          <t>Fresh Milk</t>
        </is>
      </c>
      <c r="G156" t="inlineStr">
        <is>
          <t>Carton (12× 2,000ml Bottle)</t>
        </is>
      </c>
      <c r="H156" s="4" t="n">
        <v>5</v>
      </c>
      <c r="I156" s="4" t="n">
        <v>24000</v>
      </c>
      <c r="J156">
        <f>H156*I156</f>
        <v/>
      </c>
      <c r="K156" t="n">
        <v>84.95999999999999</v>
      </c>
      <c r="L156" t="n">
        <v>424.8</v>
      </c>
    </row>
    <row r="157">
      <c r="A157" t="inlineStr">
        <is>
          <t>2026-06</t>
        </is>
      </c>
      <c r="B157" t="inlineStr">
        <is>
          <t>2026-06-17</t>
        </is>
      </c>
      <c r="C157" t="inlineStr">
        <is>
          <t>CC-CC003-0139</t>
        </is>
      </c>
      <c r="D157" t="inlineStr">
        <is>
          <t>TAM</t>
        </is>
      </c>
      <c r="E157" t="inlineStr">
        <is>
          <t>The Milk Ministry</t>
        </is>
      </c>
      <c r="F157" t="inlineStr">
        <is>
          <t>Fresh Milk</t>
        </is>
      </c>
      <c r="G157" t="inlineStr">
        <is>
          <t>Carton (12× 2,000ml Bottle)</t>
        </is>
      </c>
      <c r="H157" s="4" t="n">
        <v>8</v>
      </c>
      <c r="I157" s="4" t="n">
        <v>24000</v>
      </c>
      <c r="J157">
        <f>H157*I157</f>
        <v/>
      </c>
      <c r="K157" t="n">
        <v>84.95999999999999</v>
      </c>
      <c r="L157" t="n">
        <v>679.6799999999999</v>
      </c>
    </row>
    <row r="158">
      <c r="A158" t="inlineStr">
        <is>
          <t>2026-06</t>
        </is>
      </c>
      <c r="B158" t="inlineStr">
        <is>
          <t>2026-06-17</t>
        </is>
      </c>
      <c r="C158" t="inlineStr">
        <is>
          <t>CC-CC001-0214</t>
        </is>
      </c>
      <c r="D158" t="inlineStr">
        <is>
          <t>PJ</t>
        </is>
      </c>
      <c r="E158" t="inlineStr">
        <is>
          <t>The Milk Ministry</t>
        </is>
      </c>
      <c r="F158" t="inlineStr">
        <is>
          <t>Fresh Milk</t>
        </is>
      </c>
      <c r="G158" t="inlineStr">
        <is>
          <t>Carton (12× 2,000ml Bottle)</t>
        </is>
      </c>
      <c r="H158" s="4" t="n">
        <v>6</v>
      </c>
      <c r="I158" s="4" t="n">
        <v>24000</v>
      </c>
      <c r="J158">
        <f>H158*I158</f>
        <v/>
      </c>
      <c r="K158" t="n">
        <v>84.95999999999999</v>
      </c>
      <c r="L158" t="n">
        <v>509.76</v>
      </c>
    </row>
    <row r="159">
      <c r="A159" t="inlineStr">
        <is>
          <t>2026-06</t>
        </is>
      </c>
      <c r="B159" t="inlineStr">
        <is>
          <t>2026-06-18</t>
        </is>
      </c>
      <c r="C159" t="inlineStr">
        <is>
          <t>CC-CC002-0204</t>
        </is>
      </c>
      <c r="D159" t="inlineStr">
        <is>
          <t>SA</t>
        </is>
      </c>
      <c r="E159" t="inlineStr">
        <is>
          <t>Milk n Moka</t>
        </is>
      </c>
      <c r="F159" t="inlineStr">
        <is>
          <t>Fresh Milk</t>
        </is>
      </c>
      <c r="G159" t="inlineStr">
        <is>
          <t>Carton (12× 1,000ml Bottle)</t>
        </is>
      </c>
      <c r="H159" s="4" t="n">
        <v>4</v>
      </c>
      <c r="I159" s="4" t="n">
        <v>12000</v>
      </c>
      <c r="J159">
        <f>H159*I159</f>
        <v/>
      </c>
      <c r="K159" t="n">
        <v>86.40000000000001</v>
      </c>
      <c r="L159" t="n">
        <v>345.6</v>
      </c>
    </row>
    <row r="160">
      <c r="A160" t="inlineStr">
        <is>
          <t>2026-06</t>
        </is>
      </c>
      <c r="B160" t="inlineStr">
        <is>
          <t>2026-06-18</t>
        </is>
      </c>
      <c r="C160" t="inlineStr">
        <is>
          <t>CC-CC001-0220</t>
        </is>
      </c>
      <c r="D160" t="inlineStr">
        <is>
          <t>PJ</t>
        </is>
      </c>
      <c r="E160" t="inlineStr">
        <is>
          <t>The Milk Ministry</t>
        </is>
      </c>
      <c r="F160" t="inlineStr">
        <is>
          <t>Fresh Milk</t>
        </is>
      </c>
      <c r="G160" t="inlineStr">
        <is>
          <t>Carton (12× 2,000ml Bottle)</t>
        </is>
      </c>
      <c r="H160" s="4" t="n">
        <v>8</v>
      </c>
      <c r="I160" s="4" t="n">
        <v>24000</v>
      </c>
      <c r="J160">
        <f>H160*I160</f>
        <v/>
      </c>
      <c r="K160" t="n">
        <v>84.95999999999999</v>
      </c>
      <c r="L160" t="n">
        <v>679.6799999999999</v>
      </c>
    </row>
    <row r="161">
      <c r="A161" t="inlineStr">
        <is>
          <t>2026-06</t>
        </is>
      </c>
      <c r="B161" t="inlineStr">
        <is>
          <t>2026-06-18</t>
        </is>
      </c>
      <c r="C161" t="inlineStr">
        <is>
          <t>CC-CC003-0143</t>
        </is>
      </c>
      <c r="D161" t="inlineStr">
        <is>
          <t>TAM</t>
        </is>
      </c>
      <c r="E161" t="inlineStr">
        <is>
          <t>The Milk Ministry</t>
        </is>
      </c>
      <c r="F161" t="inlineStr">
        <is>
          <t>Fresh Milk</t>
        </is>
      </c>
      <c r="G161" t="inlineStr">
        <is>
          <t>Carton (12× 2,000ml Bottle)</t>
        </is>
      </c>
      <c r="H161" s="4" t="n">
        <v>8</v>
      </c>
      <c r="I161" s="4" t="n">
        <v>24000</v>
      </c>
      <c r="J161">
        <f>H161*I161</f>
        <v/>
      </c>
      <c r="K161" t="n">
        <v>84.95999999999999</v>
      </c>
      <c r="L161" t="n">
        <v>679.6799999999999</v>
      </c>
    </row>
    <row r="162">
      <c r="A162" t="inlineStr">
        <is>
          <t>2026-06</t>
        </is>
      </c>
      <c r="B162" t="inlineStr">
        <is>
          <t>2026-06-21</t>
        </is>
      </c>
      <c r="C162" t="inlineStr">
        <is>
          <t>PC-CC003-0112</t>
        </is>
      </c>
      <c r="D162" t="inlineStr">
        <is>
          <t>TAM</t>
        </is>
      </c>
      <c r="E162" t="inlineStr">
        <is>
          <t>Ad-hoc Purchase</t>
        </is>
      </c>
      <c r="F162" t="inlineStr">
        <is>
          <t>Fresh Milk</t>
        </is>
      </c>
      <c r="G162" t="inlineStr">
        <is>
          <t>Bottle (1,000ml)</t>
        </is>
      </c>
      <c r="H162" s="4" t="n">
        <v>6</v>
      </c>
      <c r="I162" s="4" t="n">
        <v>1000</v>
      </c>
      <c r="J162">
        <f>H162*I162</f>
        <v/>
      </c>
      <c r="K162" t="n">
        <v>7.9</v>
      </c>
      <c r="L162" t="n">
        <v>47.4</v>
      </c>
    </row>
    <row r="163">
      <c r="A163" t="inlineStr">
        <is>
          <t>2026-06</t>
        </is>
      </c>
      <c r="B163" t="inlineStr">
        <is>
          <t>2026-06-21</t>
        </is>
      </c>
      <c r="C163" t="inlineStr">
        <is>
          <t>CC-CC002-0218</t>
        </is>
      </c>
      <c r="D163" t="inlineStr">
        <is>
          <t>SA</t>
        </is>
      </c>
      <c r="E163" t="inlineStr">
        <is>
          <t>Milk n Moka</t>
        </is>
      </c>
      <c r="F163" t="inlineStr">
        <is>
          <t>Fresh Milk</t>
        </is>
      </c>
      <c r="G163" t="inlineStr">
        <is>
          <t>Carton (12× 1,000ml Bottle)</t>
        </is>
      </c>
      <c r="H163" s="4" t="n">
        <v>5</v>
      </c>
      <c r="I163" s="4" t="n">
        <v>12000</v>
      </c>
      <c r="J163">
        <f>H163*I163</f>
        <v/>
      </c>
      <c r="K163" t="n">
        <v>86.40000000000001</v>
      </c>
      <c r="L163" t="n">
        <v>432</v>
      </c>
    </row>
    <row r="164">
      <c r="A164" t="inlineStr">
        <is>
          <t>2026-06</t>
        </is>
      </c>
      <c r="B164" t="inlineStr">
        <is>
          <t>2026-06-23</t>
        </is>
      </c>
      <c r="C164" t="inlineStr">
        <is>
          <t>PC-CC002-0133</t>
        </is>
      </c>
      <c r="D164" t="inlineStr">
        <is>
          <t>SA</t>
        </is>
      </c>
      <c r="E164" t="inlineStr">
        <is>
          <t>Ad-hoc Purchase</t>
        </is>
      </c>
      <c r="F164" t="inlineStr">
        <is>
          <t>Fresh Milk</t>
        </is>
      </c>
      <c r="G164" t="inlineStr">
        <is>
          <t>Bottle (1,000ml)</t>
        </is>
      </c>
      <c r="H164" s="4" t="n">
        <v>10</v>
      </c>
      <c r="I164" s="4" t="n">
        <v>1000</v>
      </c>
      <c r="J164">
        <f>H164*I164</f>
        <v/>
      </c>
      <c r="K164" t="n">
        <v>8.699999999999999</v>
      </c>
      <c r="L164" t="n">
        <v>87</v>
      </c>
    </row>
    <row r="165">
      <c r="A165" t="inlineStr">
        <is>
          <t>2026-06</t>
        </is>
      </c>
      <c r="B165" t="inlineStr">
        <is>
          <t>2026-06-23</t>
        </is>
      </c>
      <c r="C165" t="inlineStr">
        <is>
          <t>PC-CC001-0253</t>
        </is>
      </c>
      <c r="D165" t="inlineStr">
        <is>
          <t>PJ</t>
        </is>
      </c>
      <c r="E165" t="inlineStr">
        <is>
          <t>Ad-hoc Purchase</t>
        </is>
      </c>
      <c r="F165" t="inlineStr">
        <is>
          <t>Fresh Milk</t>
        </is>
      </c>
      <c r="G165" t="inlineStr">
        <is>
          <t>2,000ml Bottle</t>
        </is>
      </c>
      <c r="H165" s="4" t="n">
        <v>12</v>
      </c>
      <c r="I165" s="4" t="n">
        <v>2000</v>
      </c>
      <c r="J165">
        <f>H165*I165</f>
        <v/>
      </c>
      <c r="K165" t="n">
        <v>16.37</v>
      </c>
      <c r="L165" t="n">
        <v>196.4</v>
      </c>
    </row>
    <row r="166">
      <c r="A166" t="inlineStr">
        <is>
          <t>2026-06</t>
        </is>
      </c>
      <c r="B166" t="inlineStr">
        <is>
          <t>2026-06-23</t>
        </is>
      </c>
      <c r="C166" t="inlineStr">
        <is>
          <t>PC-CC003-0128</t>
        </is>
      </c>
      <c r="D166" t="inlineStr">
        <is>
          <t>TAM</t>
        </is>
      </c>
      <c r="E166" t="inlineStr">
        <is>
          <t>Ad-hoc Purchase</t>
        </is>
      </c>
      <c r="F166" t="inlineStr">
        <is>
          <t>Fresh Milk</t>
        </is>
      </c>
      <c r="G166" t="inlineStr">
        <is>
          <t>Bottle (1,000ml)</t>
        </is>
      </c>
      <c r="H166" s="4" t="n">
        <v>5</v>
      </c>
      <c r="I166" s="4" t="n">
        <v>1000</v>
      </c>
      <c r="J166">
        <f>H166*I166</f>
        <v/>
      </c>
      <c r="K166" t="n">
        <v>7.9</v>
      </c>
      <c r="L166" t="n">
        <v>39.5</v>
      </c>
    </row>
    <row r="167">
      <c r="A167" t="inlineStr">
        <is>
          <t>2026-06</t>
        </is>
      </c>
      <c r="B167" t="inlineStr">
        <is>
          <t>2026-06-24</t>
        </is>
      </c>
      <c r="C167" t="inlineStr">
        <is>
          <t>CC-CC001-0234</t>
        </is>
      </c>
      <c r="D167" t="inlineStr">
        <is>
          <t>PJ</t>
        </is>
      </c>
      <c r="E167" t="inlineStr">
        <is>
          <t>The Milk Ministry</t>
        </is>
      </c>
      <c r="F167" t="inlineStr">
        <is>
          <t>Fresh Milk</t>
        </is>
      </c>
      <c r="G167" t="inlineStr">
        <is>
          <t>Carton (12× 2,000ml Bottle)</t>
        </is>
      </c>
      <c r="H167" s="4" t="n">
        <v>8</v>
      </c>
      <c r="I167" s="4" t="n">
        <v>24000</v>
      </c>
      <c r="J167">
        <f>H167*I167</f>
        <v/>
      </c>
      <c r="K167" t="n">
        <v>84.95999999999999</v>
      </c>
      <c r="L167" t="n">
        <v>679.6799999999999</v>
      </c>
    </row>
    <row r="168">
      <c r="A168" t="inlineStr">
        <is>
          <t>2026-06</t>
        </is>
      </c>
      <c r="B168" t="inlineStr">
        <is>
          <t>2026-06-24</t>
        </is>
      </c>
      <c r="C168" t="inlineStr">
        <is>
          <t>CC-CC003-0153</t>
        </is>
      </c>
      <c r="D168" t="inlineStr">
        <is>
          <t>TAM</t>
        </is>
      </c>
      <c r="E168" t="inlineStr">
        <is>
          <t>The Milk Ministry</t>
        </is>
      </c>
      <c r="F168" t="inlineStr">
        <is>
          <t>Fresh Milk</t>
        </is>
      </c>
      <c r="G168" t="inlineStr">
        <is>
          <t>Carton (12× 2,000ml Bottle)</t>
        </is>
      </c>
      <c r="H168" s="4" t="n">
        <v>6</v>
      </c>
      <c r="I168" s="4" t="n">
        <v>24000</v>
      </c>
      <c r="J168">
        <f>H168*I168</f>
        <v/>
      </c>
      <c r="K168" t="n">
        <v>84.95999999999999</v>
      </c>
      <c r="L168" t="n">
        <v>509.76</v>
      </c>
    </row>
    <row r="169">
      <c r="A169" t="inlineStr">
        <is>
          <t>2026-06</t>
        </is>
      </c>
      <c r="B169" t="inlineStr">
        <is>
          <t>2026-06-24</t>
        </is>
      </c>
      <c r="C169" t="inlineStr">
        <is>
          <t>CC-CC002-0224</t>
        </is>
      </c>
      <c r="D169" t="inlineStr">
        <is>
          <t>SA</t>
        </is>
      </c>
      <c r="E169" t="inlineStr">
        <is>
          <t>Milk n Moka</t>
        </is>
      </c>
      <c r="F169" t="inlineStr">
        <is>
          <t>Fresh Milk</t>
        </is>
      </c>
      <c r="G169" t="inlineStr">
        <is>
          <t>Carton (12× 1,000ml Bottle)</t>
        </is>
      </c>
      <c r="H169" s="4" t="n">
        <v>5</v>
      </c>
      <c r="I169" s="4" t="n">
        <v>12000</v>
      </c>
      <c r="J169">
        <f>H169*I169</f>
        <v/>
      </c>
      <c r="K169" t="n">
        <v>86.40000000000001</v>
      </c>
      <c r="L169" t="n">
        <v>432</v>
      </c>
    </row>
    <row r="170">
      <c r="A170" t="inlineStr">
        <is>
          <t>2026-06</t>
        </is>
      </c>
      <c r="B170" t="inlineStr">
        <is>
          <t>2026-06-25</t>
        </is>
      </c>
      <c r="C170" t="inlineStr">
        <is>
          <t>CC-CC001-0239</t>
        </is>
      </c>
      <c r="D170" t="inlineStr">
        <is>
          <t>PJ</t>
        </is>
      </c>
      <c r="E170" t="inlineStr">
        <is>
          <t>The Milk Ministry</t>
        </is>
      </c>
      <c r="F170" t="inlineStr">
        <is>
          <t>Fresh Milk</t>
        </is>
      </c>
      <c r="G170" t="inlineStr">
        <is>
          <t>Carton (12× 2,000ml Bottle)</t>
        </is>
      </c>
      <c r="H170" s="4" t="n">
        <v>7</v>
      </c>
      <c r="I170" s="4" t="n">
        <v>24000</v>
      </c>
      <c r="J170">
        <f>H170*I170</f>
        <v/>
      </c>
      <c r="K170" t="n">
        <v>84.95999999999999</v>
      </c>
      <c r="L170" t="n">
        <v>594.72</v>
      </c>
    </row>
    <row r="171">
      <c r="A171" t="inlineStr">
        <is>
          <t>2026-06</t>
        </is>
      </c>
      <c r="B171" t="inlineStr">
        <is>
          <t>2026-06-25</t>
        </is>
      </c>
      <c r="C171" t="inlineStr">
        <is>
          <t>CC-CC002-0226</t>
        </is>
      </c>
      <c r="D171" t="inlineStr">
        <is>
          <t>SA</t>
        </is>
      </c>
      <c r="E171" t="inlineStr">
        <is>
          <t>Milk n Moka</t>
        </is>
      </c>
      <c r="F171" t="inlineStr">
        <is>
          <t>Fresh Milk</t>
        </is>
      </c>
      <c r="G171" t="inlineStr">
        <is>
          <t>Carton (12× 1,000ml Bottle)</t>
        </is>
      </c>
      <c r="H171" s="4" t="n">
        <v>5</v>
      </c>
      <c r="I171" s="4" t="n">
        <v>12000</v>
      </c>
      <c r="J171">
        <f>H171*I171</f>
        <v/>
      </c>
      <c r="K171" t="n">
        <v>86.40000000000001</v>
      </c>
      <c r="L171" t="n">
        <v>432</v>
      </c>
    </row>
    <row r="172">
      <c r="A172" t="inlineStr">
        <is>
          <t>2026-06</t>
        </is>
      </c>
      <c r="B172" t="inlineStr">
        <is>
          <t>2026-06-30</t>
        </is>
      </c>
      <c r="C172" t="inlineStr">
        <is>
          <t>CC-CC001-0248</t>
        </is>
      </c>
      <c r="D172" t="inlineStr">
        <is>
          <t>PJ</t>
        </is>
      </c>
      <c r="E172" t="inlineStr">
        <is>
          <t>The Milk Ministry</t>
        </is>
      </c>
      <c r="F172" t="inlineStr">
        <is>
          <t>Fresh Milk</t>
        </is>
      </c>
      <c r="G172" t="inlineStr">
        <is>
          <t>Carton (12× 2,000ml Bottle)</t>
        </is>
      </c>
      <c r="H172" s="4" t="n">
        <v>8</v>
      </c>
      <c r="I172" s="4" t="n">
        <v>24000</v>
      </c>
      <c r="J172">
        <f>H172*I172</f>
        <v/>
      </c>
      <c r="K172" t="n">
        <v>84.95999999999999</v>
      </c>
      <c r="L172" t="n">
        <v>679.6799999999999</v>
      </c>
    </row>
    <row r="173">
      <c r="A173" t="inlineStr">
        <is>
          <t>2026-06</t>
        </is>
      </c>
      <c r="B173" t="inlineStr">
        <is>
          <t>2026-06-30</t>
        </is>
      </c>
      <c r="C173" t="inlineStr">
        <is>
          <t>CC-CC002-0236</t>
        </is>
      </c>
      <c r="D173" t="inlineStr">
        <is>
          <t>SA</t>
        </is>
      </c>
      <c r="E173" t="inlineStr">
        <is>
          <t>Milk n Moka</t>
        </is>
      </c>
      <c r="F173" t="inlineStr">
        <is>
          <t>Fresh Milk</t>
        </is>
      </c>
      <c r="G173" t="inlineStr">
        <is>
          <t>Carton (12× 1,000ml Bottle)</t>
        </is>
      </c>
      <c r="H173" s="4" t="n">
        <v>5</v>
      </c>
      <c r="I173" s="4" t="n">
        <v>12000</v>
      </c>
      <c r="J173">
        <f>H173*I173</f>
        <v/>
      </c>
      <c r="K173" t="n">
        <v>86.40000000000001</v>
      </c>
      <c r="L173" t="n">
        <v>432</v>
      </c>
    </row>
    <row r="174">
      <c r="A174" t="inlineStr">
        <is>
          <t>2026-07</t>
        </is>
      </c>
      <c r="B174" t="inlineStr">
        <is>
          <t>2026-07-02</t>
        </is>
      </c>
      <c r="C174" t="inlineStr">
        <is>
          <t>CC-CC003-0171</t>
        </is>
      </c>
      <c r="D174" t="inlineStr">
        <is>
          <t>TAM</t>
        </is>
      </c>
      <c r="E174" t="inlineStr">
        <is>
          <t>The Milk Ministry</t>
        </is>
      </c>
      <c r="F174" t="inlineStr">
        <is>
          <t>Fresh Milk</t>
        </is>
      </c>
      <c r="G174" t="inlineStr">
        <is>
          <t>Carton (12× 2,000ml Bottle)</t>
        </is>
      </c>
      <c r="H174" s="4" t="n">
        <v>8</v>
      </c>
      <c r="I174" s="4" t="n">
        <v>24000</v>
      </c>
      <c r="J174">
        <f>H174*I174</f>
        <v/>
      </c>
      <c r="K174" t="n">
        <v>84.95999999999999</v>
      </c>
      <c r="L174" t="n">
        <v>679.6799999999999</v>
      </c>
    </row>
    <row r="175">
      <c r="A175" t="inlineStr">
        <is>
          <t>2026-07</t>
        </is>
      </c>
      <c r="B175" t="inlineStr">
        <is>
          <t>2026-07-02</t>
        </is>
      </c>
      <c r="C175" t="inlineStr">
        <is>
          <t>CC-CC001-0260</t>
        </is>
      </c>
      <c r="D175" t="inlineStr">
        <is>
          <t>PJ</t>
        </is>
      </c>
      <c r="E175" t="inlineStr">
        <is>
          <t>The Milk Ministry</t>
        </is>
      </c>
      <c r="F175" t="inlineStr">
        <is>
          <t>Fresh Milk</t>
        </is>
      </c>
      <c r="G175" t="inlineStr">
        <is>
          <t>Carton (12× 2,000ml Bottle)</t>
        </is>
      </c>
      <c r="H175" s="4" t="n">
        <v>6</v>
      </c>
      <c r="I175" s="4" t="n">
        <v>24000</v>
      </c>
      <c r="J175">
        <f>H175*I175</f>
        <v/>
      </c>
      <c r="K175" t="n">
        <v>84.95999999999999</v>
      </c>
      <c r="L175" t="n">
        <v>509.76</v>
      </c>
    </row>
    <row r="176">
      <c r="A176" t="inlineStr">
        <is>
          <t>2026-07</t>
        </is>
      </c>
      <c r="B176" t="inlineStr">
        <is>
          <t>2026-07-03</t>
        </is>
      </c>
      <c r="C176" t="inlineStr">
        <is>
          <t>CC-CC002-0248</t>
        </is>
      </c>
      <c r="D176" t="inlineStr">
        <is>
          <t>SA</t>
        </is>
      </c>
      <c r="E176" t="inlineStr">
        <is>
          <t>Milk n Moka</t>
        </is>
      </c>
      <c r="F176" t="inlineStr">
        <is>
          <t>Fresh Milk</t>
        </is>
      </c>
      <c r="G176" t="inlineStr">
        <is>
          <t>Carton (12× 1,000ml Bottle)</t>
        </is>
      </c>
      <c r="H176" s="4" t="n">
        <v>5</v>
      </c>
      <c r="I176" s="4" t="n">
        <v>12000</v>
      </c>
      <c r="J176">
        <f>H176*I176</f>
        <v/>
      </c>
      <c r="K176" t="n">
        <v>86.40000000000001</v>
      </c>
      <c r="L176" t="n">
        <v>432</v>
      </c>
    </row>
    <row r="177">
      <c r="A177" t="inlineStr">
        <is>
          <t>2026-07</t>
        </is>
      </c>
      <c r="B177" t="inlineStr">
        <is>
          <t>2026-07-05</t>
        </is>
      </c>
      <c r="C177" t="inlineStr">
        <is>
          <t>PC-CC001-0295</t>
        </is>
      </c>
      <c r="D177" t="inlineStr">
        <is>
          <t>PJ</t>
        </is>
      </c>
      <c r="E177" t="inlineStr">
        <is>
          <t>Ad-hoc Purchase</t>
        </is>
      </c>
      <c r="F177" t="inlineStr">
        <is>
          <t>Fresh Milk</t>
        </is>
      </c>
      <c r="G177" t="inlineStr">
        <is>
          <t>2,000ml Bottle</t>
        </is>
      </c>
      <c r="H177" s="4" t="n">
        <v>10</v>
      </c>
      <c r="I177" s="4" t="n">
        <v>2000</v>
      </c>
      <c r="J177">
        <f>H177*I177</f>
        <v/>
      </c>
      <c r="K177" t="n">
        <v>16.88</v>
      </c>
      <c r="L177" t="n">
        <v>168.8</v>
      </c>
    </row>
    <row r="178">
      <c r="A178" t="inlineStr">
        <is>
          <t>2026-07</t>
        </is>
      </c>
      <c r="B178" t="inlineStr">
        <is>
          <t>2026-07-08</t>
        </is>
      </c>
      <c r="C178" t="inlineStr">
        <is>
          <t>CC-CC001-0278</t>
        </is>
      </c>
      <c r="D178" t="inlineStr">
        <is>
          <t>PJ</t>
        </is>
      </c>
      <c r="E178" t="inlineStr">
        <is>
          <t>The Milk Ministry</t>
        </is>
      </c>
      <c r="F178" t="inlineStr">
        <is>
          <t>Fresh Milk</t>
        </is>
      </c>
      <c r="G178" t="inlineStr">
        <is>
          <t>Carton (12× 2,000ml Bottle)</t>
        </is>
      </c>
      <c r="H178" s="4" t="n">
        <v>8</v>
      </c>
      <c r="I178" s="4" t="n">
        <v>24000</v>
      </c>
      <c r="J178">
        <f>H178*I178</f>
        <v/>
      </c>
      <c r="K178" t="n">
        <v>84.95999999999999</v>
      </c>
      <c r="L178" t="n">
        <v>679.6799999999999</v>
      </c>
    </row>
    <row r="179">
      <c r="A179" t="inlineStr">
        <is>
          <t>2026-07</t>
        </is>
      </c>
      <c r="B179" t="inlineStr">
        <is>
          <t>2026-07-08</t>
        </is>
      </c>
      <c r="C179" t="inlineStr">
        <is>
          <t>CC-CC003-0182</t>
        </is>
      </c>
      <c r="D179" t="inlineStr">
        <is>
          <t>TAM</t>
        </is>
      </c>
      <c r="E179" t="inlineStr">
        <is>
          <t>The Milk Ministry</t>
        </is>
      </c>
      <c r="F179" t="inlineStr">
        <is>
          <t>Fresh Milk</t>
        </is>
      </c>
      <c r="G179" t="inlineStr">
        <is>
          <t>Carton (12× 2,000ml Bottle)</t>
        </is>
      </c>
      <c r="H179" s="4" t="n">
        <v>7</v>
      </c>
      <c r="I179" s="4" t="n">
        <v>24000</v>
      </c>
      <c r="J179">
        <f>H179*I179</f>
        <v/>
      </c>
      <c r="K179" t="n">
        <v>84.95999999999999</v>
      </c>
      <c r="L179" t="n">
        <v>594.72</v>
      </c>
    </row>
    <row r="180">
      <c r="A180" t="inlineStr">
        <is>
          <t>2026-07</t>
        </is>
      </c>
      <c r="B180" t="inlineStr">
        <is>
          <t>2026-07-09</t>
        </is>
      </c>
      <c r="C180" t="inlineStr">
        <is>
          <t>CC-CC002-0263</t>
        </is>
      </c>
      <c r="D180" t="inlineStr">
        <is>
          <t>SA</t>
        </is>
      </c>
      <c r="E180" t="inlineStr">
        <is>
          <t>Milk n Moka</t>
        </is>
      </c>
      <c r="F180" t="inlineStr">
        <is>
          <t>Fresh Milk</t>
        </is>
      </c>
      <c r="G180" t="inlineStr">
        <is>
          <t>Carton (12× 1,000ml Bottle)</t>
        </is>
      </c>
      <c r="H180" s="4" t="n">
        <v>6</v>
      </c>
      <c r="I180" s="4" t="n">
        <v>12000</v>
      </c>
      <c r="J180">
        <f>H180*I180</f>
        <v/>
      </c>
      <c r="K180" t="n">
        <v>86.40000000000001</v>
      </c>
      <c r="L180" t="n">
        <v>518.4</v>
      </c>
    </row>
    <row r="181">
      <c r="A181" t="inlineStr">
        <is>
          <t>2026-07</t>
        </is>
      </c>
      <c r="B181" t="inlineStr">
        <is>
          <t>2026-07-09</t>
        </is>
      </c>
      <c r="C181" t="inlineStr">
        <is>
          <t>CC-CC002-0264</t>
        </is>
      </c>
      <c r="D181" t="inlineStr">
        <is>
          <t>SA</t>
        </is>
      </c>
      <c r="E181" t="inlineStr">
        <is>
          <t>Milk n Moka</t>
        </is>
      </c>
      <c r="F181" t="inlineStr">
        <is>
          <t>Fresh Milk</t>
        </is>
      </c>
      <c r="G181" t="inlineStr">
        <is>
          <t>Carton (12× 1,000ml Bottle)</t>
        </is>
      </c>
      <c r="H181" s="4" t="n">
        <v>5</v>
      </c>
      <c r="I181" s="4" t="n">
        <v>12000</v>
      </c>
      <c r="J181">
        <f>H181*I181</f>
        <v/>
      </c>
      <c r="K181" t="n">
        <v>86.40000000000001</v>
      </c>
      <c r="L181" t="n">
        <v>432</v>
      </c>
    </row>
    <row r="182">
      <c r="A182" t="inlineStr">
        <is>
          <t>2026-07</t>
        </is>
      </c>
      <c r="B182" t="inlineStr">
        <is>
          <t>2026-07-09</t>
        </is>
      </c>
      <c r="C182" t="inlineStr">
        <is>
          <t>CC-CC001-0280</t>
        </is>
      </c>
      <c r="D182" t="inlineStr">
        <is>
          <t>PJ</t>
        </is>
      </c>
      <c r="E182" t="inlineStr">
        <is>
          <t>The Milk Ministry</t>
        </is>
      </c>
      <c r="F182" t="inlineStr">
        <is>
          <t>Fresh Milk</t>
        </is>
      </c>
      <c r="G182" t="inlineStr">
        <is>
          <t>Carton (12× 2,000ml Bottle)</t>
        </is>
      </c>
      <c r="H182" s="4" t="n">
        <v>6</v>
      </c>
      <c r="I182" s="4" t="n">
        <v>24000</v>
      </c>
      <c r="J182">
        <f>H182*I182</f>
        <v/>
      </c>
      <c r="K182" t="n">
        <v>84.95999999999999</v>
      </c>
      <c r="L182" t="n">
        <v>509.76</v>
      </c>
    </row>
    <row r="183">
      <c r="A183" t="inlineStr">
        <is>
          <t>2026-07</t>
        </is>
      </c>
      <c r="B183" t="inlineStr">
        <is>
          <t>2026-07-09</t>
        </is>
      </c>
      <c r="C183" t="inlineStr">
        <is>
          <t>CC-CC003-0184</t>
        </is>
      </c>
      <c r="D183" t="inlineStr">
        <is>
          <t>TAM</t>
        </is>
      </c>
      <c r="E183" t="inlineStr">
        <is>
          <t>The Milk Ministry</t>
        </is>
      </c>
      <c r="F183" t="inlineStr">
        <is>
          <t>Fresh Milk</t>
        </is>
      </c>
      <c r="G183" t="inlineStr">
        <is>
          <t>Carton (12× 2,000ml Bottle)</t>
        </is>
      </c>
      <c r="H183" s="4" t="n">
        <v>6</v>
      </c>
      <c r="I183" s="4" t="n">
        <v>24000</v>
      </c>
      <c r="J183">
        <f>H183*I183</f>
        <v/>
      </c>
      <c r="K183" t="n">
        <v>84.95999999999999</v>
      </c>
      <c r="L183" t="n">
        <v>509.76</v>
      </c>
    </row>
    <row r="184">
      <c r="A184" t="inlineStr">
        <is>
          <t>2026-07</t>
        </is>
      </c>
      <c r="B184" t="inlineStr">
        <is>
          <t>2026-07-09</t>
        </is>
      </c>
      <c r="C184" t="inlineStr">
        <is>
          <t>CC-CC002-0266</t>
        </is>
      </c>
      <c r="D184" t="inlineStr">
        <is>
          <t>SA</t>
        </is>
      </c>
      <c r="E184" t="inlineStr">
        <is>
          <t>Milk n Moka</t>
        </is>
      </c>
      <c r="F184" t="inlineStr">
        <is>
          <t>Fresh Milk</t>
        </is>
      </c>
      <c r="G184" t="inlineStr">
        <is>
          <t>Carton (12× 1,000ml Bottle)</t>
        </is>
      </c>
      <c r="H184" s="4" t="n">
        <v>5</v>
      </c>
      <c r="I184" s="4" t="n">
        <v>12000</v>
      </c>
      <c r="J184">
        <f>H184*I184</f>
        <v/>
      </c>
      <c r="K184" t="n">
        <v>86.40000000000001</v>
      </c>
      <c r="L184" t="n">
        <v>432</v>
      </c>
    </row>
    <row r="185">
      <c r="A185" t="inlineStr">
        <is>
          <t>2026-07</t>
        </is>
      </c>
      <c r="B185" t="inlineStr">
        <is>
          <t>2026-07-15</t>
        </is>
      </c>
      <c r="C185" t="inlineStr">
        <is>
          <t>CC-CC001-0294</t>
        </is>
      </c>
      <c r="D185" t="inlineStr">
        <is>
          <t>PJ</t>
        </is>
      </c>
      <c r="E185" t="inlineStr">
        <is>
          <t>The Milk Ministry</t>
        </is>
      </c>
      <c r="F185" t="inlineStr">
        <is>
          <t>Fresh Milk</t>
        </is>
      </c>
      <c r="G185" t="inlineStr">
        <is>
          <t>Carton (12× 2,000ml Bottle)</t>
        </is>
      </c>
      <c r="H185" s="4" t="n">
        <v>10</v>
      </c>
      <c r="I185" s="4" t="n">
        <v>24000</v>
      </c>
      <c r="J185">
        <f>H185*I185</f>
        <v/>
      </c>
      <c r="K185" t="n">
        <v>88.7</v>
      </c>
      <c r="L185" t="n">
        <v>887</v>
      </c>
    </row>
    <row r="186">
      <c r="A186" t="inlineStr">
        <is>
          <t>2026-07</t>
        </is>
      </c>
      <c r="B186" t="inlineStr">
        <is>
          <t>2026-07-15</t>
        </is>
      </c>
      <c r="C186" t="inlineStr">
        <is>
          <t>CC-CC003-0194</t>
        </is>
      </c>
      <c r="D186" t="inlineStr">
        <is>
          <t>TAM</t>
        </is>
      </c>
      <c r="E186" t="inlineStr">
        <is>
          <t>The Milk Ministry</t>
        </is>
      </c>
      <c r="F186" t="inlineStr">
        <is>
          <t>Fresh Milk</t>
        </is>
      </c>
      <c r="G186" t="inlineStr">
        <is>
          <t>Carton (12× 2,000ml Bottle)</t>
        </is>
      </c>
      <c r="H186" s="4" t="n">
        <v>7</v>
      </c>
      <c r="I186" s="4" t="n">
        <v>24000</v>
      </c>
      <c r="J186">
        <f>H186*I186</f>
        <v/>
      </c>
      <c r="K186" t="n">
        <v>83.90000000000001</v>
      </c>
      <c r="L186" t="n">
        <v>587.3</v>
      </c>
    </row>
    <row r="187">
      <c r="A187" t="inlineStr">
        <is>
          <t>2026-07</t>
        </is>
      </c>
      <c r="B187" t="inlineStr">
        <is>
          <t>2026-07-16</t>
        </is>
      </c>
      <c r="C187" t="inlineStr">
        <is>
          <t>CC-CC002-0284</t>
        </is>
      </c>
      <c r="D187" t="inlineStr">
        <is>
          <t>SA</t>
        </is>
      </c>
      <c r="E187" t="inlineStr">
        <is>
          <t>Milk n Moka</t>
        </is>
      </c>
      <c r="F187" t="inlineStr">
        <is>
          <t>Fresh Milk</t>
        </is>
      </c>
      <c r="G187" t="inlineStr">
        <is>
          <t>Carton (12× 1,000ml Bottle)</t>
        </is>
      </c>
      <c r="H187" s="4" t="n">
        <v>5</v>
      </c>
      <c r="I187" s="4" t="n">
        <v>12000</v>
      </c>
      <c r="J187">
        <f>H187*I187</f>
        <v/>
      </c>
      <c r="K187" t="n">
        <v>88.2</v>
      </c>
      <c r="L187" t="n">
        <v>441</v>
      </c>
    </row>
    <row r="188">
      <c r="A188" t="inlineStr">
        <is>
          <t>2026-07</t>
        </is>
      </c>
      <c r="B188" t="inlineStr">
        <is>
          <t>2026-07-16</t>
        </is>
      </c>
      <c r="C188" t="inlineStr">
        <is>
          <t>CC-CC002-0285</t>
        </is>
      </c>
      <c r="D188" t="inlineStr">
        <is>
          <t>SA</t>
        </is>
      </c>
      <c r="E188" t="inlineStr">
        <is>
          <t>Milk n Moka</t>
        </is>
      </c>
      <c r="F188" t="inlineStr">
        <is>
          <t>Fresh Milk</t>
        </is>
      </c>
      <c r="G188" t="inlineStr">
        <is>
          <t>Carton (12× 1,000ml Bottle)</t>
        </is>
      </c>
      <c r="H188" s="4" t="n">
        <v>5</v>
      </c>
      <c r="I188" s="4" t="n">
        <v>12000</v>
      </c>
      <c r="J188">
        <f>H188*I188</f>
        <v/>
      </c>
      <c r="K188" t="n">
        <v>85.54000000000001</v>
      </c>
      <c r="L188" t="n">
        <v>427.7</v>
      </c>
    </row>
    <row r="189">
      <c r="A189" t="inlineStr">
        <is>
          <t>2026-07</t>
        </is>
      </c>
      <c r="B189" t="inlineStr">
        <is>
          <t>2026-07-16</t>
        </is>
      </c>
      <c r="C189" t="inlineStr">
        <is>
          <t>CC-CC002-0286</t>
        </is>
      </c>
      <c r="D189" t="inlineStr">
        <is>
          <t>SA</t>
        </is>
      </c>
      <c r="E189" t="inlineStr">
        <is>
          <t>The Milk Ministry</t>
        </is>
      </c>
      <c r="F189" t="inlineStr">
        <is>
          <t>Fresh Milk</t>
        </is>
      </c>
      <c r="G189" t="inlineStr">
        <is>
          <t>Carton (12× 1,000ml Bottle)</t>
        </is>
      </c>
      <c r="H189" s="4" t="n">
        <v>5</v>
      </c>
      <c r="I189" s="4" t="n">
        <v>12000</v>
      </c>
      <c r="J189">
        <f>H189*I189</f>
        <v/>
      </c>
      <c r="K189" t="n">
        <v>83.90000000000001</v>
      </c>
      <c r="L189" t="n">
        <v>419.5</v>
      </c>
    </row>
    <row r="190">
      <c r="A190" t="inlineStr">
        <is>
          <t>2026-07</t>
        </is>
      </c>
      <c r="B190" t="inlineStr">
        <is>
          <t>2026-07-16</t>
        </is>
      </c>
      <c r="C190" t="inlineStr">
        <is>
          <t>CC-CC003-0197</t>
        </is>
      </c>
      <c r="D190" t="inlineStr">
        <is>
          <t>TAM</t>
        </is>
      </c>
      <c r="E190" t="inlineStr">
        <is>
          <t>The Milk Ministry</t>
        </is>
      </c>
      <c r="F190" t="inlineStr">
        <is>
          <t>Fresh Milk</t>
        </is>
      </c>
      <c r="G190" t="inlineStr">
        <is>
          <t>Carton (12× 2,000ml Bottle)</t>
        </is>
      </c>
      <c r="H190" s="4" t="n">
        <v>7</v>
      </c>
      <c r="I190" s="4" t="n">
        <v>24000</v>
      </c>
      <c r="J190">
        <f>H190*I190</f>
        <v/>
      </c>
      <c r="K190" t="n">
        <v>174.96</v>
      </c>
      <c r="L190" t="n">
        <v>1224.72</v>
      </c>
    </row>
    <row r="191">
      <c r="A191" t="inlineStr">
        <is>
          <t>2026-07</t>
        </is>
      </c>
      <c r="B191" t="inlineStr">
        <is>
          <t>2026-07-16</t>
        </is>
      </c>
      <c r="C191" t="inlineStr">
        <is>
          <t>CC-CC001-0295</t>
        </is>
      </c>
      <c r="D191" t="inlineStr">
        <is>
          <t>PJ</t>
        </is>
      </c>
      <c r="E191" t="inlineStr">
        <is>
          <t>The Milk Ministry</t>
        </is>
      </c>
      <c r="F191" t="inlineStr">
        <is>
          <t>Fresh Milk</t>
        </is>
      </c>
      <c r="G191" t="inlineStr">
        <is>
          <t>Carton (12× 2,000ml Bottle)</t>
        </is>
      </c>
      <c r="H191" s="4" t="n">
        <v>7</v>
      </c>
      <c r="I191" s="4" t="n">
        <v>24000</v>
      </c>
      <c r="J191">
        <f>H191*I191</f>
        <v/>
      </c>
      <c r="K191" t="n">
        <v>83.90000000000001</v>
      </c>
      <c r="L191" t="n">
        <v>587.3</v>
      </c>
    </row>
    <row r="192">
      <c r="A192" t="inlineStr">
        <is>
          <t>2026-07</t>
        </is>
      </c>
      <c r="B192" t="inlineStr">
        <is>
          <t>2026-07-20</t>
        </is>
      </c>
      <c r="C192" t="inlineStr">
        <is>
          <t>CC-CC003-0204</t>
        </is>
      </c>
      <c r="D192" t="inlineStr">
        <is>
          <t>TAM</t>
        </is>
      </c>
      <c r="E192" t="inlineStr">
        <is>
          <t>The Milk Ministry</t>
        </is>
      </c>
      <c r="F192" t="inlineStr">
        <is>
          <t>Fresh Milk</t>
        </is>
      </c>
      <c r="G192" t="inlineStr">
        <is>
          <t>Carton (12× 2,000ml Bottle)</t>
        </is>
      </c>
      <c r="H192" s="4" t="n">
        <v>8</v>
      </c>
      <c r="I192" s="4" t="n">
        <v>24000</v>
      </c>
      <c r="J192">
        <f>H192*I192</f>
        <v/>
      </c>
      <c r="K192" t="n">
        <v>86.3</v>
      </c>
      <c r="L192" t="n">
        <v>690.4</v>
      </c>
    </row>
    <row r="193">
      <c r="A193" t="inlineStr">
        <is>
          <t>2026-07</t>
        </is>
      </c>
      <c r="B193" t="inlineStr">
        <is>
          <t>2026-07-22</t>
        </is>
      </c>
      <c r="C193" t="inlineStr">
        <is>
          <t>CC-CC001-0313</t>
        </is>
      </c>
      <c r="D193" t="inlineStr">
        <is>
          <t>PJ</t>
        </is>
      </c>
      <c r="E193" t="inlineStr">
        <is>
          <t>The Milk Ministry</t>
        </is>
      </c>
      <c r="F193" t="inlineStr">
        <is>
          <t>Fresh Milk</t>
        </is>
      </c>
      <c r="G193" t="inlineStr">
        <is>
          <t>Carton (12× 2,000ml Bottle)</t>
        </is>
      </c>
      <c r="H193" s="4" t="n">
        <v>10</v>
      </c>
      <c r="I193" s="4" t="n">
        <v>24000</v>
      </c>
      <c r="J193">
        <f>H193*I193</f>
        <v/>
      </c>
      <c r="K193" t="n">
        <v>83.90000000000001</v>
      </c>
      <c r="L193" t="n">
        <v>839</v>
      </c>
    </row>
    <row r="194">
      <c r="A194" t="inlineStr">
        <is>
          <t>2026-07</t>
        </is>
      </c>
      <c r="B194" t="inlineStr">
        <is>
          <t>2026-07-22</t>
        </is>
      </c>
      <c r="C194" t="inlineStr">
        <is>
          <t>CC-CC002-0303</t>
        </is>
      </c>
      <c r="D194" t="inlineStr">
        <is>
          <t>SA</t>
        </is>
      </c>
      <c r="E194" t="inlineStr">
        <is>
          <t>Milk n Moka</t>
        </is>
      </c>
      <c r="F194" t="inlineStr">
        <is>
          <t>Fresh Milk</t>
        </is>
      </c>
      <c r="G194" t="inlineStr">
        <is>
          <t>Carton (12× 1,000ml Bottle)</t>
        </is>
      </c>
      <c r="H194" s="4" t="n">
        <v>5</v>
      </c>
      <c r="I194" s="4" t="n">
        <v>12000</v>
      </c>
      <c r="J194">
        <f>H194*I194</f>
        <v/>
      </c>
      <c r="K194" t="n">
        <v>84.95999999999999</v>
      </c>
      <c r="L194" t="n">
        <v>424.8</v>
      </c>
    </row>
    <row r="195">
      <c r="A195" t="inlineStr">
        <is>
          <t>2026-07</t>
        </is>
      </c>
      <c r="B195" t="inlineStr">
        <is>
          <t>2026-07-22</t>
        </is>
      </c>
      <c r="C195" t="inlineStr">
        <is>
          <t>CC-CC002-0304</t>
        </is>
      </c>
      <c r="D195" t="inlineStr">
        <is>
          <t>SA</t>
        </is>
      </c>
      <c r="E195" t="inlineStr">
        <is>
          <t>Milk n Moka</t>
        </is>
      </c>
      <c r="F195" t="inlineStr">
        <is>
          <t>Fresh Milk</t>
        </is>
      </c>
      <c r="G195" t="inlineStr">
        <is>
          <t>Carton (12× 1,000ml Bottle)</t>
        </is>
      </c>
      <c r="H195" s="4" t="n">
        <v>5</v>
      </c>
      <c r="I195" s="4" t="n">
        <v>12000</v>
      </c>
      <c r="J195">
        <f>H195*I195</f>
        <v/>
      </c>
      <c r="K195" t="n">
        <v>84</v>
      </c>
      <c r="L195" t="n">
        <v>420</v>
      </c>
    </row>
    <row r="196">
      <c r="A196" t="inlineStr">
        <is>
          <t>2026-07</t>
        </is>
      </c>
      <c r="B196" t="inlineStr">
        <is>
          <t>2026-07-23</t>
        </is>
      </c>
      <c r="C196" t="inlineStr">
        <is>
          <t>CC-CC001-0317</t>
        </is>
      </c>
      <c r="D196" t="inlineStr">
        <is>
          <t>PJ</t>
        </is>
      </c>
      <c r="E196" t="inlineStr">
        <is>
          <t>The Milk Ministry</t>
        </is>
      </c>
      <c r="F196" t="inlineStr">
        <is>
          <t>Fresh Milk</t>
        </is>
      </c>
      <c r="G196" t="inlineStr">
        <is>
          <t>Carton (12× 2,000ml Bottle)</t>
        </is>
      </c>
      <c r="H196" s="4" t="n">
        <v>8</v>
      </c>
      <c r="I196" s="4" t="n">
        <v>24000</v>
      </c>
      <c r="J196">
        <f>H196*I196</f>
        <v/>
      </c>
      <c r="K196" t="n">
        <v>83.90000000000001</v>
      </c>
      <c r="L196" t="n">
        <v>671.2</v>
      </c>
    </row>
    <row r="197">
      <c r="A197" t="inlineStr">
        <is>
          <t>2026-07</t>
        </is>
      </c>
      <c r="B197" t="inlineStr">
        <is>
          <t>2026-07-23</t>
        </is>
      </c>
      <c r="C197" t="inlineStr">
        <is>
          <t>CC-CC003-0208</t>
        </is>
      </c>
      <c r="D197" t="inlineStr">
        <is>
          <t>TAM</t>
        </is>
      </c>
      <c r="E197" t="inlineStr">
        <is>
          <t>The Milk Ministry</t>
        </is>
      </c>
      <c r="F197" t="inlineStr">
        <is>
          <t>Fresh Milk</t>
        </is>
      </c>
      <c r="G197" t="inlineStr">
        <is>
          <t>Carton (12× 2,000ml Bottle)</t>
        </is>
      </c>
      <c r="H197" s="4" t="n">
        <v>8</v>
      </c>
      <c r="I197" s="4" t="n">
        <v>24000</v>
      </c>
      <c r="J197">
        <f>H197*I197</f>
        <v/>
      </c>
      <c r="K197" t="n">
        <v>83.90000000000001</v>
      </c>
      <c r="L197" t="n">
        <v>671.2</v>
      </c>
    </row>
    <row r="198">
      <c r="A198" t="inlineStr">
        <is>
          <t>2026-05</t>
        </is>
      </c>
      <c r="B198" t="inlineStr">
        <is>
          <t>2026-05-02</t>
        </is>
      </c>
      <c r="C198" t="inlineStr">
        <is>
          <t>CC-CC001-0054</t>
        </is>
      </c>
      <c r="D198" t="inlineStr">
        <is>
          <t>PJ</t>
        </is>
      </c>
      <c r="E198" t="inlineStr">
        <is>
          <t>Collective Project</t>
        </is>
      </c>
      <c r="F198" t="inlineStr">
        <is>
          <t>Home Blend (Collective)</t>
        </is>
      </c>
      <c r="G198" t="inlineStr">
        <is>
          <t>Kilogram (1000g)</t>
        </is>
      </c>
      <c r="H198" s="4" t="n">
        <v>30</v>
      </c>
      <c r="I198" s="4" t="n">
        <v>1000</v>
      </c>
      <c r="J198">
        <f>H198*I198</f>
        <v/>
      </c>
      <c r="K198" t="n">
        <v>93</v>
      </c>
      <c r="L198" t="n">
        <v>2790</v>
      </c>
    </row>
    <row r="199">
      <c r="A199" t="inlineStr">
        <is>
          <t>2026-05</t>
        </is>
      </c>
      <c r="B199" t="inlineStr">
        <is>
          <t>2026-05-02</t>
        </is>
      </c>
      <c r="C199" t="inlineStr">
        <is>
          <t>CC-CC002-0041</t>
        </is>
      </c>
      <c r="D199" t="inlineStr">
        <is>
          <t>SA</t>
        </is>
      </c>
      <c r="E199" t="inlineStr">
        <is>
          <t>Collective Project</t>
        </is>
      </c>
      <c r="F199" t="inlineStr">
        <is>
          <t>Home Blend (Collective)</t>
        </is>
      </c>
      <c r="G199" t="inlineStr">
        <is>
          <t>Kilogram (1000g)</t>
        </is>
      </c>
      <c r="H199" s="4" t="n">
        <v>30</v>
      </c>
      <c r="I199" s="4" t="n">
        <v>1000</v>
      </c>
      <c r="J199">
        <f>H199*I199</f>
        <v/>
      </c>
      <c r="K199" t="n">
        <v>93</v>
      </c>
      <c r="L199" t="n">
        <v>2790</v>
      </c>
    </row>
    <row r="200">
      <c r="A200" t="inlineStr">
        <is>
          <t>2026-05</t>
        </is>
      </c>
      <c r="B200" t="inlineStr">
        <is>
          <t>2026-05-02</t>
        </is>
      </c>
      <c r="C200" t="inlineStr">
        <is>
          <t>CC-CC003-0024</t>
        </is>
      </c>
      <c r="D200" t="inlineStr">
        <is>
          <t>TAM</t>
        </is>
      </c>
      <c r="E200" t="inlineStr">
        <is>
          <t>Collective Project</t>
        </is>
      </c>
      <c r="F200" t="inlineStr">
        <is>
          <t>Home Blend (Collective)</t>
        </is>
      </c>
      <c r="G200" t="inlineStr">
        <is>
          <t>Kilogram (1000g)</t>
        </is>
      </c>
      <c r="H200" s="4" t="n">
        <v>20</v>
      </c>
      <c r="I200" s="4" t="n">
        <v>1000</v>
      </c>
      <c r="J200">
        <f>H200*I200</f>
        <v/>
      </c>
      <c r="K200" t="n">
        <v>93</v>
      </c>
      <c r="L200" t="n">
        <v>1860</v>
      </c>
    </row>
    <row r="201">
      <c r="A201" t="inlineStr">
        <is>
          <t>2026-05</t>
        </is>
      </c>
      <c r="B201" t="inlineStr">
        <is>
          <t>2026-05-05</t>
        </is>
      </c>
      <c r="C201" t="inlineStr">
        <is>
          <t>CC-CC001-0077</t>
        </is>
      </c>
      <c r="D201" t="inlineStr">
        <is>
          <t>PJ</t>
        </is>
      </c>
      <c r="E201" t="inlineStr">
        <is>
          <t>Collective Project</t>
        </is>
      </c>
      <c r="F201" t="inlineStr">
        <is>
          <t>Home Blend (Collective)</t>
        </is>
      </c>
      <c r="G201" t="inlineStr">
        <is>
          <t>Kilogram (1000g)</t>
        </is>
      </c>
      <c r="H201" s="4" t="n">
        <v>30</v>
      </c>
      <c r="I201" s="4" t="n">
        <v>1000</v>
      </c>
      <c r="J201">
        <f>H201*I201</f>
        <v/>
      </c>
      <c r="K201" t="n">
        <v>93</v>
      </c>
      <c r="L201" t="n">
        <v>2790</v>
      </c>
    </row>
    <row r="202">
      <c r="A202" t="inlineStr">
        <is>
          <t>2026-05</t>
        </is>
      </c>
      <c r="B202" t="inlineStr">
        <is>
          <t>2026-05-05</t>
        </is>
      </c>
      <c r="C202" t="inlineStr">
        <is>
          <t>CC-CC003-0037</t>
        </is>
      </c>
      <c r="D202" t="inlineStr">
        <is>
          <t>TAM</t>
        </is>
      </c>
      <c r="E202" t="inlineStr">
        <is>
          <t>Collective Project</t>
        </is>
      </c>
      <c r="F202" t="inlineStr">
        <is>
          <t>Home Blend (Collective)</t>
        </is>
      </c>
      <c r="G202" t="inlineStr">
        <is>
          <t>Kilogram (1000g)</t>
        </is>
      </c>
      <c r="H202" s="4" t="n">
        <v>20</v>
      </c>
      <c r="I202" s="4" t="n">
        <v>1000</v>
      </c>
      <c r="J202">
        <f>H202*I202</f>
        <v/>
      </c>
      <c r="K202" t="n">
        <v>93</v>
      </c>
      <c r="L202" t="n">
        <v>1860</v>
      </c>
    </row>
    <row r="203">
      <c r="A203" t="inlineStr">
        <is>
          <t>2026-05</t>
        </is>
      </c>
      <c r="B203" t="inlineStr">
        <is>
          <t>2026-05-05</t>
        </is>
      </c>
      <c r="C203" t="inlineStr">
        <is>
          <t>CC-CC002-0059</t>
        </is>
      </c>
      <c r="D203" t="inlineStr">
        <is>
          <t>SA</t>
        </is>
      </c>
      <c r="E203" t="inlineStr">
        <is>
          <t>Collective Project</t>
        </is>
      </c>
      <c r="F203" t="inlineStr">
        <is>
          <t>Home Blend (Collective)</t>
        </is>
      </c>
      <c r="G203" t="inlineStr">
        <is>
          <t>Kilogram (1000g)</t>
        </is>
      </c>
      <c r="H203" s="4" t="n">
        <v>20</v>
      </c>
      <c r="I203" s="4" t="n">
        <v>1000</v>
      </c>
      <c r="J203">
        <f>H203*I203</f>
        <v/>
      </c>
      <c r="K203" t="n">
        <v>93</v>
      </c>
      <c r="L203" t="n">
        <v>1860</v>
      </c>
    </row>
    <row r="204">
      <c r="A204" t="inlineStr">
        <is>
          <t>2026-05</t>
        </is>
      </c>
      <c r="B204" t="inlineStr">
        <is>
          <t>2026-05-10</t>
        </is>
      </c>
      <c r="C204" t="inlineStr">
        <is>
          <t>CC-CC003-0047</t>
        </is>
      </c>
      <c r="D204" t="inlineStr">
        <is>
          <t>TAM</t>
        </is>
      </c>
      <c r="E204" t="inlineStr">
        <is>
          <t>Collective Project</t>
        </is>
      </c>
      <c r="F204" t="inlineStr">
        <is>
          <t>Home Blend (Collective)</t>
        </is>
      </c>
      <c r="G204" t="inlineStr">
        <is>
          <t>Kilogram (1000g)</t>
        </is>
      </c>
      <c r="H204" s="4" t="n">
        <v>20</v>
      </c>
      <c r="I204" s="4" t="n">
        <v>1000</v>
      </c>
      <c r="J204">
        <f>H204*I204</f>
        <v/>
      </c>
      <c r="K204" t="n">
        <v>93</v>
      </c>
      <c r="L204" t="n">
        <v>1860</v>
      </c>
    </row>
    <row r="205">
      <c r="A205" t="inlineStr">
        <is>
          <t>2026-05</t>
        </is>
      </c>
      <c r="B205" t="inlineStr">
        <is>
          <t>2026-05-10</t>
        </is>
      </c>
      <c r="C205" t="inlineStr">
        <is>
          <t>CC-CC001-0092</t>
        </is>
      </c>
      <c r="D205" t="inlineStr">
        <is>
          <t>PJ</t>
        </is>
      </c>
      <c r="E205" t="inlineStr">
        <is>
          <t>Collective Project</t>
        </is>
      </c>
      <c r="F205" t="inlineStr">
        <is>
          <t>Home Blend (Collective)</t>
        </is>
      </c>
      <c r="G205" t="inlineStr">
        <is>
          <t>Kilogram (1000g)</t>
        </is>
      </c>
      <c r="H205" s="4" t="n">
        <v>30</v>
      </c>
      <c r="I205" s="4" t="n">
        <v>1000</v>
      </c>
      <c r="J205">
        <f>H205*I205</f>
        <v/>
      </c>
      <c r="K205" t="n">
        <v>93</v>
      </c>
      <c r="L205" t="n">
        <v>2790</v>
      </c>
    </row>
    <row r="206">
      <c r="A206" t="inlineStr">
        <is>
          <t>2026-05</t>
        </is>
      </c>
      <c r="B206" t="inlineStr">
        <is>
          <t>2026-05-10</t>
        </is>
      </c>
      <c r="C206" t="inlineStr">
        <is>
          <t>CC-CC002-0073</t>
        </is>
      </c>
      <c r="D206" t="inlineStr">
        <is>
          <t>SA</t>
        </is>
      </c>
      <c r="E206" t="inlineStr">
        <is>
          <t>Collective Project</t>
        </is>
      </c>
      <c r="F206" t="inlineStr">
        <is>
          <t>Home Blend (Collective)</t>
        </is>
      </c>
      <c r="G206" t="inlineStr">
        <is>
          <t>Kilogram (1000g)</t>
        </is>
      </c>
      <c r="H206" s="4" t="n">
        <v>20</v>
      </c>
      <c r="I206" s="4" t="n">
        <v>1000</v>
      </c>
      <c r="J206">
        <f>H206*I206</f>
        <v/>
      </c>
      <c r="K206" t="n">
        <v>93</v>
      </c>
      <c r="L206" t="n">
        <v>1860</v>
      </c>
    </row>
    <row r="207">
      <c r="A207" t="inlineStr">
        <is>
          <t>2026-05</t>
        </is>
      </c>
      <c r="B207" t="inlineStr">
        <is>
          <t>2026-05-10</t>
        </is>
      </c>
      <c r="C207" t="inlineStr">
        <is>
          <t>CC-CC001-0097</t>
        </is>
      </c>
      <c r="D207" t="inlineStr">
        <is>
          <t>PJ</t>
        </is>
      </c>
      <c r="E207" t="inlineStr">
        <is>
          <t>Collective Project</t>
        </is>
      </c>
      <c r="F207" t="inlineStr">
        <is>
          <t>Home Blend (Collective)</t>
        </is>
      </c>
      <c r="G207" t="inlineStr">
        <is>
          <t>Kilogram (1000g)</t>
        </is>
      </c>
      <c r="H207" s="4" t="n">
        <v>30</v>
      </c>
      <c r="I207" s="4" t="n">
        <v>1000</v>
      </c>
      <c r="J207">
        <f>H207*I207</f>
        <v/>
      </c>
      <c r="K207" t="n">
        <v>93</v>
      </c>
      <c r="L207" t="n">
        <v>2790</v>
      </c>
    </row>
    <row r="208">
      <c r="A208" t="inlineStr">
        <is>
          <t>2026-05</t>
        </is>
      </c>
      <c r="B208" t="inlineStr">
        <is>
          <t>2026-05-10</t>
        </is>
      </c>
      <c r="C208" t="inlineStr">
        <is>
          <t>CC-CC002-0078</t>
        </is>
      </c>
      <c r="D208" t="inlineStr">
        <is>
          <t>SA</t>
        </is>
      </c>
      <c r="E208" t="inlineStr">
        <is>
          <t>Collective Project</t>
        </is>
      </c>
      <c r="F208" t="inlineStr">
        <is>
          <t>Home Blend (Collective)</t>
        </is>
      </c>
      <c r="G208" t="inlineStr">
        <is>
          <t>Kilogram (1000g)</t>
        </is>
      </c>
      <c r="H208" s="4" t="n">
        <v>30</v>
      </c>
      <c r="I208" s="4" t="n">
        <v>1000</v>
      </c>
      <c r="J208">
        <f>H208*I208</f>
        <v/>
      </c>
      <c r="K208" t="n">
        <v>93</v>
      </c>
      <c r="L208" t="n">
        <v>2790</v>
      </c>
    </row>
    <row r="209">
      <c r="A209" t="inlineStr">
        <is>
          <t>2026-05</t>
        </is>
      </c>
      <c r="B209" t="inlineStr">
        <is>
          <t>2026-05-10</t>
        </is>
      </c>
      <c r="C209" t="inlineStr">
        <is>
          <t>CC-CC003-0051</t>
        </is>
      </c>
      <c r="D209" t="inlineStr">
        <is>
          <t>TAM</t>
        </is>
      </c>
      <c r="E209" t="inlineStr">
        <is>
          <t>Collective Project</t>
        </is>
      </c>
      <c r="F209" t="inlineStr">
        <is>
          <t>Home Blend (Collective)</t>
        </is>
      </c>
      <c r="G209" t="inlineStr">
        <is>
          <t>Kilogram (1000g)</t>
        </is>
      </c>
      <c r="H209" s="4" t="n">
        <v>20</v>
      </c>
      <c r="I209" s="4" t="n">
        <v>1000</v>
      </c>
      <c r="J209">
        <f>H209*I209</f>
        <v/>
      </c>
      <c r="K209" t="n">
        <v>93</v>
      </c>
      <c r="L209" t="n">
        <v>1860</v>
      </c>
    </row>
    <row r="210">
      <c r="A210" t="inlineStr">
        <is>
          <t>2026-05</t>
        </is>
      </c>
      <c r="B210" t="inlineStr">
        <is>
          <t>2026-05-17</t>
        </is>
      </c>
      <c r="C210" t="inlineStr">
        <is>
          <t>CC-CC001-0129</t>
        </is>
      </c>
      <c r="D210" t="inlineStr">
        <is>
          <t>PJ</t>
        </is>
      </c>
      <c r="E210" t="inlineStr">
        <is>
          <t>Collective Project</t>
        </is>
      </c>
      <c r="F210" t="inlineStr">
        <is>
          <t>Home Blend (Collective)</t>
        </is>
      </c>
      <c r="G210" t="inlineStr">
        <is>
          <t>Kilogram (1000g)</t>
        </is>
      </c>
      <c r="H210" s="4" t="n">
        <v>30</v>
      </c>
      <c r="I210" s="4" t="n">
        <v>1000</v>
      </c>
      <c r="J210">
        <f>H210*I210</f>
        <v/>
      </c>
      <c r="K210" t="n">
        <v>93</v>
      </c>
      <c r="L210" t="n">
        <v>2790</v>
      </c>
    </row>
    <row r="211">
      <c r="A211" t="inlineStr">
        <is>
          <t>2026-05</t>
        </is>
      </c>
      <c r="B211" t="inlineStr">
        <is>
          <t>2026-05-17</t>
        </is>
      </c>
      <c r="C211" t="inlineStr">
        <is>
          <t>CC-CC002-0112</t>
        </is>
      </c>
      <c r="D211" t="inlineStr">
        <is>
          <t>SA</t>
        </is>
      </c>
      <c r="E211" t="inlineStr">
        <is>
          <t>Collective Project</t>
        </is>
      </c>
      <c r="F211" t="inlineStr">
        <is>
          <t>Home Blend (Collective)</t>
        </is>
      </c>
      <c r="G211" t="inlineStr">
        <is>
          <t>Kilogram (1000g)</t>
        </is>
      </c>
      <c r="H211" s="4" t="n">
        <v>30</v>
      </c>
      <c r="I211" s="4" t="n">
        <v>1000</v>
      </c>
      <c r="J211">
        <f>H211*I211</f>
        <v/>
      </c>
      <c r="K211" t="n">
        <v>93</v>
      </c>
      <c r="L211" t="n">
        <v>2790</v>
      </c>
    </row>
    <row r="212">
      <c r="A212" t="inlineStr">
        <is>
          <t>2026-05</t>
        </is>
      </c>
      <c r="B212" t="inlineStr">
        <is>
          <t>2026-05-17</t>
        </is>
      </c>
      <c r="C212" t="inlineStr">
        <is>
          <t>CC-CC003-0077</t>
        </is>
      </c>
      <c r="D212" t="inlineStr">
        <is>
          <t>TAM</t>
        </is>
      </c>
      <c r="E212" t="inlineStr">
        <is>
          <t>Collective Project</t>
        </is>
      </c>
      <c r="F212" t="inlineStr">
        <is>
          <t>Home Blend (Collective)</t>
        </is>
      </c>
      <c r="G212" t="inlineStr">
        <is>
          <t>Kilogram (1000g)</t>
        </is>
      </c>
      <c r="H212" s="4" t="n">
        <v>25</v>
      </c>
      <c r="I212" s="4" t="n">
        <v>1000</v>
      </c>
      <c r="J212">
        <f>H212*I212</f>
        <v/>
      </c>
      <c r="K212" t="n">
        <v>93</v>
      </c>
      <c r="L212" t="n">
        <v>2325</v>
      </c>
    </row>
    <row r="213">
      <c r="A213" t="inlineStr">
        <is>
          <t>2026-05</t>
        </is>
      </c>
      <c r="B213" t="inlineStr">
        <is>
          <t>2026-05-24</t>
        </is>
      </c>
      <c r="C213" t="inlineStr">
        <is>
          <t>CC-CC001-0142</t>
        </is>
      </c>
      <c r="D213" t="inlineStr">
        <is>
          <t>PJ</t>
        </is>
      </c>
      <c r="E213" t="inlineStr">
        <is>
          <t>Collective Project</t>
        </is>
      </c>
      <c r="F213" t="inlineStr">
        <is>
          <t>Home Blend (Collective)</t>
        </is>
      </c>
      <c r="G213" t="inlineStr">
        <is>
          <t>Kilogram (1000g)</t>
        </is>
      </c>
      <c r="H213" s="4" t="n">
        <v>30</v>
      </c>
      <c r="I213" s="4" t="n">
        <v>1000</v>
      </c>
      <c r="J213">
        <f>H213*I213</f>
        <v/>
      </c>
      <c r="K213" t="n">
        <v>93</v>
      </c>
      <c r="L213" t="n">
        <v>2790</v>
      </c>
    </row>
    <row r="214">
      <c r="A214" t="inlineStr">
        <is>
          <t>2026-05</t>
        </is>
      </c>
      <c r="B214" t="inlineStr">
        <is>
          <t>2026-05-24</t>
        </is>
      </c>
      <c r="C214" t="inlineStr">
        <is>
          <t>CC-CC002-0134</t>
        </is>
      </c>
      <c r="D214" t="inlineStr">
        <is>
          <t>SA</t>
        </is>
      </c>
      <c r="E214" t="inlineStr">
        <is>
          <t>Collective Project</t>
        </is>
      </c>
      <c r="F214" t="inlineStr">
        <is>
          <t>Home Blend (Collective)</t>
        </is>
      </c>
      <c r="G214" t="inlineStr">
        <is>
          <t>Kilogram (1000g)</t>
        </is>
      </c>
      <c r="H214" s="4" t="n">
        <v>20</v>
      </c>
      <c r="I214" s="4" t="n">
        <v>1000</v>
      </c>
      <c r="J214">
        <f>H214*I214</f>
        <v/>
      </c>
      <c r="K214" t="n">
        <v>93</v>
      </c>
      <c r="L214" t="n">
        <v>1860</v>
      </c>
    </row>
    <row r="215">
      <c r="A215" t="inlineStr">
        <is>
          <t>2026-05</t>
        </is>
      </c>
      <c r="B215" t="inlineStr">
        <is>
          <t>2026-05-24</t>
        </is>
      </c>
      <c r="C215" t="inlineStr">
        <is>
          <t>CC-CC003-0093</t>
        </is>
      </c>
      <c r="D215" t="inlineStr">
        <is>
          <t>TAM</t>
        </is>
      </c>
      <c r="E215" t="inlineStr">
        <is>
          <t>Collective Project</t>
        </is>
      </c>
      <c r="F215" t="inlineStr">
        <is>
          <t>Home Blend (Collective)</t>
        </is>
      </c>
      <c r="G215" t="inlineStr">
        <is>
          <t>Kilogram (1000g)</t>
        </is>
      </c>
      <c r="H215" s="4" t="n">
        <v>20</v>
      </c>
      <c r="I215" s="4" t="n">
        <v>1000</v>
      </c>
      <c r="J215">
        <f>H215*I215</f>
        <v/>
      </c>
      <c r="K215" t="n">
        <v>93</v>
      </c>
      <c r="L215" t="n">
        <v>1860</v>
      </c>
    </row>
    <row r="216">
      <c r="A216" t="inlineStr">
        <is>
          <t>2026-06</t>
        </is>
      </c>
      <c r="B216" t="inlineStr">
        <is>
          <t>2026-06-01</t>
        </is>
      </c>
      <c r="C216" t="inlineStr">
        <is>
          <t>CC-CC001-0173</t>
        </is>
      </c>
      <c r="D216" t="inlineStr">
        <is>
          <t>PJ</t>
        </is>
      </c>
      <c r="E216" t="inlineStr">
        <is>
          <t xml:space="preserve"> CARRIE COFFEE ROASTERY</t>
        </is>
      </c>
      <c r="F216" t="inlineStr">
        <is>
          <t>Home Blend (Collective)</t>
        </is>
      </c>
      <c r="G216" t="inlineStr">
        <is>
          <t>Kilogram (1000g)</t>
        </is>
      </c>
      <c r="H216" s="4" t="n">
        <v>12</v>
      </c>
      <c r="I216" s="4" t="n">
        <v>1000</v>
      </c>
      <c r="J216">
        <f>H216*I216</f>
        <v/>
      </c>
      <c r="K216" t="n">
        <v>85</v>
      </c>
      <c r="L216" t="n">
        <v>1020</v>
      </c>
    </row>
    <row r="217">
      <c r="A217" t="inlineStr">
        <is>
          <t>2026-06</t>
        </is>
      </c>
      <c r="B217" t="inlineStr">
        <is>
          <t>2026-06-01</t>
        </is>
      </c>
      <c r="C217" t="inlineStr">
        <is>
          <t>CC-CC003-0117</t>
        </is>
      </c>
      <c r="D217" t="inlineStr">
        <is>
          <t>TAM</t>
        </is>
      </c>
      <c r="E217" t="inlineStr">
        <is>
          <t xml:space="preserve"> CARRIE COFFEE ROASTERY</t>
        </is>
      </c>
      <c r="F217" t="inlineStr">
        <is>
          <t>Home Blend (Collective)</t>
        </is>
      </c>
      <c r="G217" t="inlineStr">
        <is>
          <t>Kilogram (1000g)</t>
        </is>
      </c>
      <c r="H217" s="4" t="n">
        <v>8</v>
      </c>
      <c r="I217" s="4" t="n">
        <v>1000</v>
      </c>
      <c r="J217">
        <f>H217*I217</f>
        <v/>
      </c>
      <c r="K217" t="n">
        <v>85</v>
      </c>
      <c r="L217" t="n">
        <v>680</v>
      </c>
    </row>
    <row r="218">
      <c r="A218" t="inlineStr">
        <is>
          <t>2026-06</t>
        </is>
      </c>
      <c r="B218" t="inlineStr">
        <is>
          <t>2026-06-01</t>
        </is>
      </c>
      <c r="C218" t="inlineStr">
        <is>
          <t>CC-CC002-0164</t>
        </is>
      </c>
      <c r="D218" t="inlineStr">
        <is>
          <t>SA</t>
        </is>
      </c>
      <c r="E218" t="inlineStr">
        <is>
          <t xml:space="preserve"> CARRIE COFFEE ROASTERY</t>
        </is>
      </c>
      <c r="F218" t="inlineStr">
        <is>
          <t>Home Blend (Collective)</t>
        </is>
      </c>
      <c r="G218" t="inlineStr">
        <is>
          <t>Kilogram (1000g)</t>
        </is>
      </c>
      <c r="H218" s="4" t="n">
        <v>4</v>
      </c>
      <c r="I218" s="4" t="n">
        <v>1000</v>
      </c>
      <c r="J218">
        <f>H218*I218</f>
        <v/>
      </c>
      <c r="K218" t="n">
        <v>85</v>
      </c>
      <c r="L218" t="n">
        <v>340</v>
      </c>
    </row>
    <row r="219">
      <c r="A219" t="inlineStr">
        <is>
          <t>2026-06</t>
        </is>
      </c>
      <c r="B219" t="inlineStr">
        <is>
          <t>2026-06-02</t>
        </is>
      </c>
      <c r="C219" t="inlineStr">
        <is>
          <t>CC-CC001-0174</t>
        </is>
      </c>
      <c r="D219" t="inlineStr">
        <is>
          <t>PJ</t>
        </is>
      </c>
      <c r="E219" t="inlineStr">
        <is>
          <t>Collective Project</t>
        </is>
      </c>
      <c r="F219" t="inlineStr">
        <is>
          <t>Home Blend (Collective)</t>
        </is>
      </c>
      <c r="G219" t="inlineStr">
        <is>
          <t>Kilogram (1000g)</t>
        </is>
      </c>
      <c r="H219" s="4" t="n">
        <v>30</v>
      </c>
      <c r="I219" s="4" t="n">
        <v>1000</v>
      </c>
      <c r="J219">
        <f>H219*I219</f>
        <v/>
      </c>
      <c r="K219" t="n">
        <v>93</v>
      </c>
      <c r="L219" t="n">
        <v>2790</v>
      </c>
    </row>
    <row r="220">
      <c r="A220" t="inlineStr">
        <is>
          <t>2026-06</t>
        </is>
      </c>
      <c r="B220" t="inlineStr">
        <is>
          <t>2026-06-02</t>
        </is>
      </c>
      <c r="C220" t="inlineStr">
        <is>
          <t>CC-CC002-0165</t>
        </is>
      </c>
      <c r="D220" t="inlineStr">
        <is>
          <t>SA</t>
        </is>
      </c>
      <c r="E220" t="inlineStr">
        <is>
          <t>Collective Project</t>
        </is>
      </c>
      <c r="F220" t="inlineStr">
        <is>
          <t>Home Blend (Collective)</t>
        </is>
      </c>
      <c r="G220" t="inlineStr">
        <is>
          <t>Kilogram (1000g)</t>
        </is>
      </c>
      <c r="H220" s="4" t="n">
        <v>25</v>
      </c>
      <c r="I220" s="4" t="n">
        <v>1000</v>
      </c>
      <c r="J220">
        <f>H220*I220</f>
        <v/>
      </c>
      <c r="K220" t="n">
        <v>93</v>
      </c>
      <c r="L220" t="n">
        <v>2325</v>
      </c>
    </row>
    <row r="221">
      <c r="A221" t="inlineStr">
        <is>
          <t>2026-06</t>
        </is>
      </c>
      <c r="B221" t="inlineStr">
        <is>
          <t>2026-06-02</t>
        </is>
      </c>
      <c r="C221" t="inlineStr">
        <is>
          <t>CC-CC003-0118</t>
        </is>
      </c>
      <c r="D221" t="inlineStr">
        <is>
          <t>TAM</t>
        </is>
      </c>
      <c r="E221" t="inlineStr">
        <is>
          <t>Collective Project</t>
        </is>
      </c>
      <c r="F221" t="inlineStr">
        <is>
          <t>Home Blend (Collective)</t>
        </is>
      </c>
      <c r="G221" t="inlineStr">
        <is>
          <t>Kilogram (1000g)</t>
        </is>
      </c>
      <c r="H221" s="4" t="n">
        <v>20</v>
      </c>
      <c r="I221" s="4" t="n">
        <v>1000</v>
      </c>
      <c r="J221">
        <f>H221*I221</f>
        <v/>
      </c>
      <c r="K221" t="n">
        <v>93</v>
      </c>
      <c r="L221" t="n">
        <v>1860</v>
      </c>
    </row>
    <row r="222">
      <c r="A222" t="inlineStr">
        <is>
          <t>2026-06</t>
        </is>
      </c>
      <c r="B222" t="inlineStr">
        <is>
          <t>2026-06-18</t>
        </is>
      </c>
      <c r="C222" t="inlineStr">
        <is>
          <t>CC-CC002-0203</t>
        </is>
      </c>
      <c r="D222" t="inlineStr">
        <is>
          <t>SA</t>
        </is>
      </c>
      <c r="E222" t="inlineStr">
        <is>
          <t>Collective Project</t>
        </is>
      </c>
      <c r="F222" t="inlineStr">
        <is>
          <t>Home Blend (Collective)</t>
        </is>
      </c>
      <c r="G222" t="inlineStr">
        <is>
          <t>Kilogram (1000g)</t>
        </is>
      </c>
      <c r="H222" s="4" t="n">
        <v>25</v>
      </c>
      <c r="I222" s="4" t="n">
        <v>1000</v>
      </c>
      <c r="J222">
        <f>H222*I222</f>
        <v/>
      </c>
      <c r="K222" t="n">
        <v>93</v>
      </c>
      <c r="L222" t="n">
        <v>2325</v>
      </c>
    </row>
    <row r="223">
      <c r="A223" t="inlineStr">
        <is>
          <t>2026-06</t>
        </is>
      </c>
      <c r="B223" t="inlineStr">
        <is>
          <t>2026-06-18</t>
        </is>
      </c>
      <c r="C223" t="inlineStr">
        <is>
          <t>CC-CC001-0219</t>
        </is>
      </c>
      <c r="D223" t="inlineStr">
        <is>
          <t>PJ</t>
        </is>
      </c>
      <c r="E223" t="inlineStr">
        <is>
          <t>Collective Project</t>
        </is>
      </c>
      <c r="F223" t="inlineStr">
        <is>
          <t>Home Blend (Collective)</t>
        </is>
      </c>
      <c r="G223" t="inlineStr">
        <is>
          <t>Kilogram (1000g)</t>
        </is>
      </c>
      <c r="H223" s="4" t="n">
        <v>30</v>
      </c>
      <c r="I223" s="4" t="n">
        <v>1000</v>
      </c>
      <c r="J223">
        <f>H223*I223</f>
        <v/>
      </c>
      <c r="K223" t="n">
        <v>93</v>
      </c>
      <c r="L223" t="n">
        <v>2790</v>
      </c>
    </row>
    <row r="224">
      <c r="A224" t="inlineStr">
        <is>
          <t>2026-06</t>
        </is>
      </c>
      <c r="B224" t="inlineStr">
        <is>
          <t>2026-06-18</t>
        </is>
      </c>
      <c r="C224" t="inlineStr">
        <is>
          <t>CC-CC003-0142</t>
        </is>
      </c>
      <c r="D224" t="inlineStr">
        <is>
          <t>TAM</t>
        </is>
      </c>
      <c r="E224" t="inlineStr">
        <is>
          <t>Collective Project</t>
        </is>
      </c>
      <c r="F224" t="inlineStr">
        <is>
          <t>Home Blend (Collective)</t>
        </is>
      </c>
      <c r="G224" t="inlineStr">
        <is>
          <t>Kilogram (1000g)</t>
        </is>
      </c>
      <c r="H224" s="4" t="n">
        <v>20</v>
      </c>
      <c r="I224" s="4" t="n">
        <v>1000</v>
      </c>
      <c r="J224">
        <f>H224*I224</f>
        <v/>
      </c>
      <c r="K224" t="n">
        <v>93</v>
      </c>
      <c r="L224" t="n">
        <v>1860</v>
      </c>
    </row>
    <row r="225">
      <c r="A225" t="inlineStr">
        <is>
          <t>2026-06</t>
        </is>
      </c>
      <c r="B225" t="inlineStr">
        <is>
          <t>2026-06-21</t>
        </is>
      </c>
      <c r="C225" t="inlineStr">
        <is>
          <t>CC-CC001-0232</t>
        </is>
      </c>
      <c r="D225" t="inlineStr">
        <is>
          <t>PJ</t>
        </is>
      </c>
      <c r="E225" t="inlineStr">
        <is>
          <t>Collective Project</t>
        </is>
      </c>
      <c r="F225" t="inlineStr">
        <is>
          <t>Home Blend (Collective)</t>
        </is>
      </c>
      <c r="G225" t="inlineStr">
        <is>
          <t>Kilogram (1000g)</t>
        </is>
      </c>
      <c r="H225" s="4" t="n">
        <v>30</v>
      </c>
      <c r="I225" s="4" t="n">
        <v>1000</v>
      </c>
      <c r="J225">
        <f>H225*I225</f>
        <v/>
      </c>
      <c r="K225" t="n">
        <v>93</v>
      </c>
      <c r="L225" t="n">
        <v>2790</v>
      </c>
    </row>
    <row r="226">
      <c r="A226" t="inlineStr">
        <is>
          <t>2026-06</t>
        </is>
      </c>
      <c r="B226" t="inlineStr">
        <is>
          <t>2026-06-21</t>
        </is>
      </c>
      <c r="C226" t="inlineStr">
        <is>
          <t>CC-CC002-0221</t>
        </is>
      </c>
      <c r="D226" t="inlineStr">
        <is>
          <t>SA</t>
        </is>
      </c>
      <c r="E226" t="inlineStr">
        <is>
          <t>Collective Project</t>
        </is>
      </c>
      <c r="F226" t="inlineStr">
        <is>
          <t>Home Blend (Collective)</t>
        </is>
      </c>
      <c r="G226" t="inlineStr">
        <is>
          <t>Kilogram (1000g)</t>
        </is>
      </c>
      <c r="H226" s="4" t="n">
        <v>25</v>
      </c>
      <c r="I226" s="4" t="n">
        <v>1000</v>
      </c>
      <c r="J226">
        <f>H226*I226</f>
        <v/>
      </c>
      <c r="K226" t="n">
        <v>93</v>
      </c>
      <c r="L226" t="n">
        <v>2325</v>
      </c>
    </row>
    <row r="227">
      <c r="A227" t="inlineStr">
        <is>
          <t>2026-06</t>
        </is>
      </c>
      <c r="B227" t="inlineStr">
        <is>
          <t>2026-06-21</t>
        </is>
      </c>
      <c r="C227" t="inlineStr">
        <is>
          <t>CC-CC003-0152</t>
        </is>
      </c>
      <c r="D227" t="inlineStr">
        <is>
          <t>TAM</t>
        </is>
      </c>
      <c r="E227" t="inlineStr">
        <is>
          <t>Collective Project</t>
        </is>
      </c>
      <c r="F227" t="inlineStr">
        <is>
          <t>Home Blend (Collective)</t>
        </is>
      </c>
      <c r="G227" t="inlineStr">
        <is>
          <t>Kilogram (1000g)</t>
        </is>
      </c>
      <c r="H227" s="4" t="n">
        <v>20</v>
      </c>
      <c r="I227" s="4" t="n">
        <v>1000</v>
      </c>
      <c r="J227">
        <f>H227*I227</f>
        <v/>
      </c>
      <c r="K227" t="n">
        <v>93</v>
      </c>
      <c r="L227" t="n">
        <v>1860</v>
      </c>
    </row>
    <row r="228">
      <c r="A228" t="inlineStr">
        <is>
          <t>2026-06</t>
        </is>
      </c>
      <c r="B228" t="inlineStr">
        <is>
          <t>2026-06-29</t>
        </is>
      </c>
      <c r="C228" t="inlineStr">
        <is>
          <t>CC-CC001-0242</t>
        </is>
      </c>
      <c r="D228" t="inlineStr">
        <is>
          <t>PJ</t>
        </is>
      </c>
      <c r="E228" t="inlineStr">
        <is>
          <t>Collective Project</t>
        </is>
      </c>
      <c r="F228" t="inlineStr">
        <is>
          <t>Home Blend (Collective)</t>
        </is>
      </c>
      <c r="G228" t="inlineStr">
        <is>
          <t>Kilogram (1000g)</t>
        </is>
      </c>
      <c r="H228" s="4" t="n">
        <v>30</v>
      </c>
      <c r="I228" s="4" t="n">
        <v>1000</v>
      </c>
      <c r="J228">
        <f>H228*I228</f>
        <v/>
      </c>
      <c r="K228" t="n">
        <v>93</v>
      </c>
      <c r="L228" t="n">
        <v>2790</v>
      </c>
    </row>
    <row r="229">
      <c r="A229" t="inlineStr">
        <is>
          <t>2026-06</t>
        </is>
      </c>
      <c r="B229" t="inlineStr">
        <is>
          <t>2026-06-29</t>
        </is>
      </c>
      <c r="C229" t="inlineStr">
        <is>
          <t>CC-CC002-0231</t>
        </is>
      </c>
      <c r="D229" t="inlineStr">
        <is>
          <t>SA</t>
        </is>
      </c>
      <c r="E229" t="inlineStr">
        <is>
          <t>Collective Project</t>
        </is>
      </c>
      <c r="F229" t="inlineStr">
        <is>
          <t>Home Blend (Collective)</t>
        </is>
      </c>
      <c r="G229" t="inlineStr">
        <is>
          <t>Kilogram (1000g)</t>
        </is>
      </c>
      <c r="H229" s="4" t="n">
        <v>25</v>
      </c>
      <c r="I229" s="4" t="n">
        <v>1000</v>
      </c>
      <c r="J229">
        <f>H229*I229</f>
        <v/>
      </c>
      <c r="K229" t="n">
        <v>93</v>
      </c>
      <c r="L229" t="n">
        <v>2325</v>
      </c>
    </row>
    <row r="230">
      <c r="A230" t="inlineStr">
        <is>
          <t>2026-06</t>
        </is>
      </c>
      <c r="B230" t="inlineStr">
        <is>
          <t>2026-06-29</t>
        </is>
      </c>
      <c r="C230" t="inlineStr">
        <is>
          <t>CC-CC003-0158</t>
        </is>
      </c>
      <c r="D230" t="inlineStr">
        <is>
          <t>TAM</t>
        </is>
      </c>
      <c r="E230" t="inlineStr">
        <is>
          <t>Collective Project</t>
        </is>
      </c>
      <c r="F230" t="inlineStr">
        <is>
          <t>Home Blend (Collective)</t>
        </is>
      </c>
      <c r="G230" t="inlineStr">
        <is>
          <t>Kilogram (1000g)</t>
        </is>
      </c>
      <c r="H230" s="4" t="n">
        <v>20</v>
      </c>
      <c r="I230" s="4" t="n">
        <v>1000</v>
      </c>
      <c r="J230">
        <f>H230*I230</f>
        <v/>
      </c>
      <c r="K230" t="n">
        <v>93</v>
      </c>
      <c r="L230" t="n">
        <v>1860</v>
      </c>
    </row>
    <row r="231">
      <c r="A231" t="inlineStr">
        <is>
          <t>2026-07</t>
        </is>
      </c>
      <c r="B231" t="inlineStr">
        <is>
          <t>2026-07-05</t>
        </is>
      </c>
      <c r="C231" t="inlineStr">
        <is>
          <t>CC-CC001-0265</t>
        </is>
      </c>
      <c r="D231" t="inlineStr">
        <is>
          <t>PJ</t>
        </is>
      </c>
      <c r="E231" t="inlineStr">
        <is>
          <t>Collective Project</t>
        </is>
      </c>
      <c r="F231" t="inlineStr">
        <is>
          <t>Home Blend (Collective)</t>
        </is>
      </c>
      <c r="G231" t="inlineStr">
        <is>
          <t>Kilogram (1000g)</t>
        </is>
      </c>
      <c r="H231" s="4" t="n">
        <v>30</v>
      </c>
      <c r="I231" s="4" t="n">
        <v>1000</v>
      </c>
      <c r="J231">
        <f>H231*I231</f>
        <v/>
      </c>
      <c r="K231" t="n">
        <v>93</v>
      </c>
      <c r="L231" t="n">
        <v>2790</v>
      </c>
    </row>
    <row r="232">
      <c r="A232" t="inlineStr">
        <is>
          <t>2026-07</t>
        </is>
      </c>
      <c r="B232" t="inlineStr">
        <is>
          <t>2026-07-05</t>
        </is>
      </c>
      <c r="C232" t="inlineStr">
        <is>
          <t>CC-CC002-0253</t>
        </is>
      </c>
      <c r="D232" t="inlineStr">
        <is>
          <t>SA</t>
        </is>
      </c>
      <c r="E232" t="inlineStr">
        <is>
          <t>Collective Project</t>
        </is>
      </c>
      <c r="F232" t="inlineStr">
        <is>
          <t>Home Blend (Collective)</t>
        </is>
      </c>
      <c r="G232" t="inlineStr">
        <is>
          <t>Kilogram (1000g)</t>
        </is>
      </c>
      <c r="H232" s="4" t="n">
        <v>23</v>
      </c>
      <c r="I232" s="4" t="n">
        <v>1000</v>
      </c>
      <c r="J232">
        <f>H232*I232</f>
        <v/>
      </c>
      <c r="K232" t="n">
        <v>93</v>
      </c>
      <c r="L232" t="n">
        <v>2139</v>
      </c>
    </row>
    <row r="233">
      <c r="A233" t="inlineStr">
        <is>
          <t>2026-07</t>
        </is>
      </c>
      <c r="B233" t="inlineStr">
        <is>
          <t>2026-07-05</t>
        </is>
      </c>
      <c r="C233" t="inlineStr">
        <is>
          <t>CC-CC003-0175</t>
        </is>
      </c>
      <c r="D233" t="inlineStr">
        <is>
          <t>TAM</t>
        </is>
      </c>
      <c r="E233" t="inlineStr">
        <is>
          <t>Collective Project</t>
        </is>
      </c>
      <c r="F233" t="inlineStr">
        <is>
          <t>Home Blend (Collective)</t>
        </is>
      </c>
      <c r="G233" t="inlineStr">
        <is>
          <t>Kilogram (1000g)</t>
        </is>
      </c>
      <c r="H233" s="4" t="n">
        <v>20</v>
      </c>
      <c r="I233" s="4" t="n">
        <v>1000</v>
      </c>
      <c r="J233">
        <f>H233*I233</f>
        <v/>
      </c>
      <c r="K233" t="n">
        <v>93</v>
      </c>
      <c r="L233" t="n">
        <v>1860</v>
      </c>
    </row>
    <row r="234">
      <c r="A234" t="inlineStr">
        <is>
          <t>2026-07</t>
        </is>
      </c>
      <c r="B234" t="inlineStr">
        <is>
          <t>2026-07-14</t>
        </is>
      </c>
      <c r="C234" t="inlineStr">
        <is>
          <t>CC-CC001-0292</t>
        </is>
      </c>
      <c r="D234" t="inlineStr">
        <is>
          <t>PJ</t>
        </is>
      </c>
      <c r="E234" t="inlineStr">
        <is>
          <t>Collective Project</t>
        </is>
      </c>
      <c r="F234" t="inlineStr">
        <is>
          <t>Home Blend (Collective)</t>
        </is>
      </c>
      <c r="G234" t="inlineStr">
        <is>
          <t>Kilogram (1000g)</t>
        </is>
      </c>
      <c r="H234" s="4" t="n">
        <v>35</v>
      </c>
      <c r="I234" s="4" t="n">
        <v>1000</v>
      </c>
      <c r="J234">
        <f>H234*I234</f>
        <v/>
      </c>
      <c r="K234" t="n">
        <v>93</v>
      </c>
      <c r="L234" t="n">
        <v>3255</v>
      </c>
    </row>
    <row r="235">
      <c r="A235" t="inlineStr">
        <is>
          <t>2026-07</t>
        </is>
      </c>
      <c r="B235" t="inlineStr">
        <is>
          <t>2026-07-14</t>
        </is>
      </c>
      <c r="C235" t="inlineStr">
        <is>
          <t>CC-CC002-0273</t>
        </is>
      </c>
      <c r="D235" t="inlineStr">
        <is>
          <t>SA</t>
        </is>
      </c>
      <c r="E235" t="inlineStr">
        <is>
          <t>Collective Project</t>
        </is>
      </c>
      <c r="F235" t="inlineStr">
        <is>
          <t>Home Blend (Collective)</t>
        </is>
      </c>
      <c r="G235" t="inlineStr">
        <is>
          <t>Kilogram (1000g)</t>
        </is>
      </c>
      <c r="H235" s="4" t="n">
        <v>30</v>
      </c>
      <c r="I235" s="4" t="n">
        <v>1000</v>
      </c>
      <c r="J235">
        <f>H235*I235</f>
        <v/>
      </c>
      <c r="K235" t="n">
        <v>93</v>
      </c>
      <c r="L235" t="n">
        <v>2790</v>
      </c>
    </row>
    <row r="236">
      <c r="A236" t="inlineStr">
        <is>
          <t>2026-07</t>
        </is>
      </c>
      <c r="B236" t="inlineStr">
        <is>
          <t>2026-07-14</t>
        </is>
      </c>
      <c r="C236" t="inlineStr">
        <is>
          <t>CC-CC003-0191</t>
        </is>
      </c>
      <c r="D236" t="inlineStr">
        <is>
          <t>TAM</t>
        </is>
      </c>
      <c r="E236" t="inlineStr">
        <is>
          <t>Collective Project</t>
        </is>
      </c>
      <c r="F236" t="inlineStr">
        <is>
          <t>Home Blend (Collective)</t>
        </is>
      </c>
      <c r="G236" t="inlineStr">
        <is>
          <t>Kilogram (1000g)</t>
        </is>
      </c>
      <c r="H236" s="4" t="n">
        <v>25</v>
      </c>
      <c r="I236" s="4" t="n">
        <v>1000</v>
      </c>
      <c r="J236">
        <f>H236*I236</f>
        <v/>
      </c>
      <c r="K236" t="n">
        <v>93</v>
      </c>
      <c r="L236" t="n">
        <v>2325</v>
      </c>
    </row>
    <row r="237">
      <c r="A237" t="inlineStr">
        <is>
          <t>2026-07</t>
        </is>
      </c>
      <c r="B237" t="inlineStr">
        <is>
          <t>2026-07-26</t>
        </is>
      </c>
      <c r="C237" t="inlineStr">
        <is>
          <t>CC-CC001-0326</t>
        </is>
      </c>
      <c r="D237" t="inlineStr">
        <is>
          <t>PJ</t>
        </is>
      </c>
      <c r="E237" t="inlineStr">
        <is>
          <t>Collective Project</t>
        </is>
      </c>
      <c r="F237" t="inlineStr">
        <is>
          <t>Home Blend (Collective)</t>
        </is>
      </c>
      <c r="G237" t="inlineStr">
        <is>
          <t>Kilogram (1000g)</t>
        </is>
      </c>
      <c r="H237" s="4" t="n">
        <v>35</v>
      </c>
      <c r="I237" s="4" t="n">
        <v>1000</v>
      </c>
      <c r="J237">
        <f>H237*I237</f>
        <v/>
      </c>
      <c r="K237" t="n">
        <v>93</v>
      </c>
      <c r="L237" t="n">
        <v>3255</v>
      </c>
    </row>
    <row r="238">
      <c r="A238" t="inlineStr">
        <is>
          <t>2026-07</t>
        </is>
      </c>
      <c r="B238" t="inlineStr">
        <is>
          <t>2026-07-26</t>
        </is>
      </c>
      <c r="C238" t="inlineStr">
        <is>
          <t>CC-CC002-0316</t>
        </is>
      </c>
      <c r="D238" t="inlineStr">
        <is>
          <t>SA</t>
        </is>
      </c>
      <c r="E238" t="inlineStr">
        <is>
          <t>Collective Project</t>
        </is>
      </c>
      <c r="F238" t="inlineStr">
        <is>
          <t>Home Blend (Collective)</t>
        </is>
      </c>
      <c r="G238" t="inlineStr">
        <is>
          <t>Kilogram (1000g)</t>
        </is>
      </c>
      <c r="H238" s="4" t="n">
        <v>30</v>
      </c>
      <c r="I238" s="4" t="n">
        <v>1000</v>
      </c>
      <c r="J238">
        <f>H238*I238</f>
        <v/>
      </c>
      <c r="K238" t="n">
        <v>93</v>
      </c>
      <c r="L238" t="n">
        <v>2790</v>
      </c>
    </row>
    <row r="239">
      <c r="A239" t="inlineStr">
        <is>
          <t>2026-07</t>
        </is>
      </c>
      <c r="B239" t="inlineStr">
        <is>
          <t>2026-07-26</t>
        </is>
      </c>
      <c r="C239" t="inlineStr">
        <is>
          <t>CC-CC003-0213</t>
        </is>
      </c>
      <c r="D239" t="inlineStr">
        <is>
          <t>TAM</t>
        </is>
      </c>
      <c r="E239" t="inlineStr">
        <is>
          <t>Collective Project</t>
        </is>
      </c>
      <c r="F239" t="inlineStr">
        <is>
          <t>Home Blend (Collective)</t>
        </is>
      </c>
      <c r="G239" t="inlineStr">
        <is>
          <t>Kilogram (1000g)</t>
        </is>
      </c>
      <c r="H239" s="4" t="n">
        <v>25</v>
      </c>
      <c r="I239" s="4" t="n">
        <v>1000</v>
      </c>
      <c r="J239">
        <f>H239*I239</f>
        <v/>
      </c>
      <c r="K239" t="n">
        <v>93</v>
      </c>
      <c r="L239" t="n">
        <v>2325</v>
      </c>
    </row>
    <row r="240">
      <c r="A240" t="inlineStr">
        <is>
          <t>2026-05</t>
        </is>
      </c>
      <c r="B240" t="inlineStr">
        <is>
          <t>2026-05-11</t>
        </is>
      </c>
      <c r="C240" t="inlineStr">
        <is>
          <t>CC-CC002-0086</t>
        </is>
      </c>
      <c r="D240" t="inlineStr">
        <is>
          <t>SA</t>
        </is>
      </c>
      <c r="E240" t="inlineStr">
        <is>
          <t>Beard Brothers</t>
        </is>
      </c>
      <c r="F240" t="inlineStr">
        <is>
          <t>Pull Lamb</t>
        </is>
      </c>
      <c r="G240" t="inlineStr">
        <is>
          <t>Pack (1000g)</t>
        </is>
      </c>
      <c r="H240" s="4" t="n">
        <v>5</v>
      </c>
      <c r="I240" s="4" t="n">
        <v>1000</v>
      </c>
      <c r="J240">
        <f>H240*I240</f>
        <v/>
      </c>
      <c r="K240" t="n">
        <v>129.16</v>
      </c>
      <c r="L240" t="n">
        <v>645.8</v>
      </c>
    </row>
    <row r="241">
      <c r="A241" t="inlineStr">
        <is>
          <t>2026-05</t>
        </is>
      </c>
      <c r="B241" t="inlineStr">
        <is>
          <t>2026-05-11</t>
        </is>
      </c>
      <c r="C241" t="inlineStr">
        <is>
          <t>CC-CC003-0057</t>
        </is>
      </c>
      <c r="D241" t="inlineStr">
        <is>
          <t>TAM</t>
        </is>
      </c>
      <c r="E241" t="inlineStr">
        <is>
          <t>Beard Brothers</t>
        </is>
      </c>
      <c r="F241" t="inlineStr">
        <is>
          <t>Pull Lamb</t>
        </is>
      </c>
      <c r="G241" t="inlineStr">
        <is>
          <t>Pack (1000g)</t>
        </is>
      </c>
      <c r="H241" s="4" t="n">
        <v>5</v>
      </c>
      <c r="I241" s="4" t="n">
        <v>1000</v>
      </c>
      <c r="J241">
        <f>H241*I241</f>
        <v/>
      </c>
      <c r="K241" t="n">
        <v>129.16</v>
      </c>
      <c r="L241" t="n">
        <v>645.8</v>
      </c>
    </row>
    <row r="242">
      <c r="A242" t="inlineStr">
        <is>
          <t>2026-05</t>
        </is>
      </c>
      <c r="B242" t="inlineStr">
        <is>
          <t>2026-05-11</t>
        </is>
      </c>
      <c r="C242" t="inlineStr">
        <is>
          <t>CC-CC001-0103</t>
        </is>
      </c>
      <c r="D242" t="inlineStr">
        <is>
          <t>PJ</t>
        </is>
      </c>
      <c r="E242" t="inlineStr">
        <is>
          <t>Beard Brothers</t>
        </is>
      </c>
      <c r="F242" t="inlineStr">
        <is>
          <t>Pull Lamb</t>
        </is>
      </c>
      <c r="G242" t="inlineStr">
        <is>
          <t>Pack (1000g)</t>
        </is>
      </c>
      <c r="H242" s="4" t="n">
        <v>5</v>
      </c>
      <c r="I242" s="4" t="n">
        <v>1000</v>
      </c>
      <c r="J242">
        <f>H242*I242</f>
        <v/>
      </c>
      <c r="K242" t="n">
        <v>129.16</v>
      </c>
      <c r="L242" t="n">
        <v>645.8</v>
      </c>
    </row>
    <row r="243">
      <c r="A243" t="inlineStr">
        <is>
          <t>2026-05</t>
        </is>
      </c>
      <c r="B243" t="inlineStr">
        <is>
          <t>2026-05-31</t>
        </is>
      </c>
      <c r="C243" t="inlineStr">
        <is>
          <t>CC-CC001-0160</t>
        </is>
      </c>
      <c r="D243" t="inlineStr">
        <is>
          <t>PJ</t>
        </is>
      </c>
      <c r="E243" t="inlineStr">
        <is>
          <t>Beard Brothers</t>
        </is>
      </c>
      <c r="F243" t="inlineStr">
        <is>
          <t>Pull Lamb</t>
        </is>
      </c>
      <c r="G243" t="inlineStr">
        <is>
          <t>Pack (1000g)</t>
        </is>
      </c>
      <c r="H243" s="4" t="n">
        <v>5</v>
      </c>
      <c r="I243" s="4" t="n">
        <v>1000</v>
      </c>
      <c r="J243">
        <f>H243*I243</f>
        <v/>
      </c>
      <c r="K243" t="n">
        <v>129.16</v>
      </c>
      <c r="L243" t="n">
        <v>645.8</v>
      </c>
    </row>
    <row r="244">
      <c r="A244" t="inlineStr">
        <is>
          <t>2026-05</t>
        </is>
      </c>
      <c r="B244" t="inlineStr">
        <is>
          <t>2026-05-31</t>
        </is>
      </c>
      <c r="C244" t="inlineStr">
        <is>
          <t>CC-CC002-0152</t>
        </is>
      </c>
      <c r="D244" t="inlineStr">
        <is>
          <t>SA</t>
        </is>
      </c>
      <c r="E244" t="inlineStr">
        <is>
          <t>Beard Brothers</t>
        </is>
      </c>
      <c r="F244" t="inlineStr">
        <is>
          <t>Pull Lamb</t>
        </is>
      </c>
      <c r="G244" t="inlineStr">
        <is>
          <t>Pack (1000g)</t>
        </is>
      </c>
      <c r="H244" s="4" t="n">
        <v>5</v>
      </c>
      <c r="I244" s="4" t="n">
        <v>1000</v>
      </c>
      <c r="J244">
        <f>H244*I244</f>
        <v/>
      </c>
      <c r="K244" t="n">
        <v>129.16</v>
      </c>
      <c r="L244" t="n">
        <v>645.8</v>
      </c>
    </row>
    <row r="245">
      <c r="A245" t="inlineStr">
        <is>
          <t>2026-05</t>
        </is>
      </c>
      <c r="B245" t="inlineStr">
        <is>
          <t>2026-05-31</t>
        </is>
      </c>
      <c r="C245" t="inlineStr">
        <is>
          <t>CC-CC003-0110</t>
        </is>
      </c>
      <c r="D245" t="inlineStr">
        <is>
          <t>TAM</t>
        </is>
      </c>
      <c r="E245" t="inlineStr">
        <is>
          <t>Beard Brothers</t>
        </is>
      </c>
      <c r="F245" t="inlineStr">
        <is>
          <t>Pull Lamb</t>
        </is>
      </c>
      <c r="G245" t="inlineStr">
        <is>
          <t>Pack (1000g)</t>
        </is>
      </c>
      <c r="H245" s="4" t="n">
        <v>5</v>
      </c>
      <c r="I245" s="4" t="n">
        <v>1000</v>
      </c>
      <c r="J245">
        <f>H245*I245</f>
        <v/>
      </c>
      <c r="K245" t="n">
        <v>129.16</v>
      </c>
      <c r="L245" t="n">
        <v>645.8</v>
      </c>
    </row>
    <row r="246">
      <c r="A246" t="inlineStr">
        <is>
          <t>2026-06</t>
        </is>
      </c>
      <c r="B246" t="inlineStr">
        <is>
          <t>2026-06-22</t>
        </is>
      </c>
      <c r="C246" t="inlineStr">
        <is>
          <t>CC-CC001-0233</t>
        </is>
      </c>
      <c r="D246" t="inlineStr">
        <is>
          <t>PJ</t>
        </is>
      </c>
      <c r="E246" t="inlineStr">
        <is>
          <t>Beard Brothers</t>
        </is>
      </c>
      <c r="F246" t="inlineStr">
        <is>
          <t>Pull Lamb</t>
        </is>
      </c>
      <c r="G246" t="inlineStr">
        <is>
          <t>Pack (1000g)</t>
        </is>
      </c>
      <c r="H246" s="4" t="n">
        <v>5</v>
      </c>
      <c r="I246" s="4" t="n">
        <v>1000</v>
      </c>
      <c r="J246">
        <f>H246*I246</f>
        <v/>
      </c>
      <c r="K246" t="n">
        <v>133.66</v>
      </c>
      <c r="L246" t="n">
        <v>668.3</v>
      </c>
    </row>
    <row r="247">
      <c r="A247" t="inlineStr">
        <is>
          <t>2026-07</t>
        </is>
      </c>
      <c r="B247" t="inlineStr">
        <is>
          <t>2026-07-20</t>
        </is>
      </c>
      <c r="C247" t="inlineStr">
        <is>
          <t>CC-CC001-0311</t>
        </is>
      </c>
      <c r="D247" t="inlineStr">
        <is>
          <t>PJ</t>
        </is>
      </c>
      <c r="E247" t="inlineStr">
        <is>
          <t>Beard Brothers</t>
        </is>
      </c>
      <c r="F247" t="inlineStr">
        <is>
          <t>Pull Lamb</t>
        </is>
      </c>
      <c r="G247" t="inlineStr">
        <is>
          <t>Pack (1000g)</t>
        </is>
      </c>
      <c r="H247" s="4" t="n">
        <v>10</v>
      </c>
      <c r="I247" s="4" t="n">
        <v>1000</v>
      </c>
      <c r="J247">
        <f>H247*I247</f>
        <v/>
      </c>
      <c r="K247" t="n">
        <v>129.16</v>
      </c>
      <c r="L247" t="n">
        <v>1291.6</v>
      </c>
    </row>
    <row r="248">
      <c r="A248" t="inlineStr">
        <is>
          <t>2026-07</t>
        </is>
      </c>
      <c r="B248" t="inlineStr">
        <is>
          <t>2026-07-20</t>
        </is>
      </c>
      <c r="C248" t="inlineStr">
        <is>
          <t>CC-CC002-0298</t>
        </is>
      </c>
      <c r="D248" t="inlineStr">
        <is>
          <t>SA</t>
        </is>
      </c>
      <c r="E248" t="inlineStr">
        <is>
          <t>Beard Brothers</t>
        </is>
      </c>
      <c r="F248" t="inlineStr">
        <is>
          <t>Pull Lamb</t>
        </is>
      </c>
      <c r="G248" t="inlineStr">
        <is>
          <t>Pack (1000g)</t>
        </is>
      </c>
      <c r="H248" s="4" t="n">
        <v>5</v>
      </c>
      <c r="I248" s="4" t="n">
        <v>1000</v>
      </c>
      <c r="J248">
        <f>H248*I248</f>
        <v/>
      </c>
      <c r="K248" t="n">
        <v>129.16</v>
      </c>
      <c r="L248" t="n">
        <v>645.8</v>
      </c>
    </row>
    <row r="249">
      <c r="A249" t="inlineStr">
        <is>
          <t>2026-04</t>
        </is>
      </c>
      <c r="B249" t="inlineStr">
        <is>
          <t>2026-04-14</t>
        </is>
      </c>
      <c r="C249" t="inlineStr">
        <is>
          <t>CC-CC001-0008</t>
        </is>
      </c>
      <c r="D249" t="inlineStr">
        <is>
          <t>PJ</t>
        </is>
      </c>
      <c r="E249" t="inlineStr">
        <is>
          <t>Pastry World Sdn Bhd</t>
        </is>
      </c>
      <c r="F249" t="inlineStr">
        <is>
          <t>Salted Croissant</t>
        </is>
      </c>
      <c r="G249" t="inlineStr">
        <is>
          <t>Carton (4× 7pcs Pack)</t>
        </is>
      </c>
      <c r="H249" s="4" t="n">
        <v>2</v>
      </c>
      <c r="I249" s="4" t="n">
        <v>28</v>
      </c>
      <c r="J249">
        <f>H249*I249</f>
        <v/>
      </c>
      <c r="K249" t="n">
        <v>162.4</v>
      </c>
      <c r="L249" t="n">
        <v>324.8</v>
      </c>
    </row>
    <row r="250">
      <c r="A250" t="inlineStr">
        <is>
          <t>2026-04</t>
        </is>
      </c>
      <c r="B250" t="inlineStr">
        <is>
          <t>2026-04-14</t>
        </is>
      </c>
      <c r="C250" t="inlineStr">
        <is>
          <t>CC-CC002-0008</t>
        </is>
      </c>
      <c r="D250" t="inlineStr">
        <is>
          <t>SA</t>
        </is>
      </c>
      <c r="E250" t="inlineStr">
        <is>
          <t>Pastry World Sdn Bhd</t>
        </is>
      </c>
      <c r="F250" t="inlineStr">
        <is>
          <t>Salted Croissant</t>
        </is>
      </c>
      <c r="G250" t="inlineStr">
        <is>
          <t>Carton (4× 7pcs Pack)</t>
        </is>
      </c>
      <c r="H250" s="4" t="n">
        <v>56</v>
      </c>
      <c r="I250" s="4" t="n">
        <v>28</v>
      </c>
      <c r="J250">
        <f>H250*I250</f>
        <v/>
      </c>
      <c r="K250" t="n">
        <v>6.09</v>
      </c>
      <c r="L250" t="n">
        <v>341.04</v>
      </c>
    </row>
    <row r="251">
      <c r="A251" t="inlineStr">
        <is>
          <t>2026-04</t>
        </is>
      </c>
      <c r="B251" t="inlineStr">
        <is>
          <t>2026-04-14</t>
        </is>
      </c>
      <c r="C251" t="inlineStr">
        <is>
          <t>CC-CC003-0002</t>
        </is>
      </c>
      <c r="D251" t="inlineStr">
        <is>
          <t>TAM</t>
        </is>
      </c>
      <c r="E251" t="inlineStr">
        <is>
          <t>Pastry World Sdn Bhd</t>
        </is>
      </c>
      <c r="F251" t="inlineStr">
        <is>
          <t>Salted Croissant</t>
        </is>
      </c>
      <c r="G251" t="inlineStr">
        <is>
          <t>Carton (4× 7pcs Pack)</t>
        </is>
      </c>
      <c r="H251" s="4" t="n">
        <v>2</v>
      </c>
      <c r="I251" s="4" t="n">
        <v>28</v>
      </c>
      <c r="J251">
        <f>H251*I251</f>
        <v/>
      </c>
      <c r="K251" t="n">
        <v>162.4</v>
      </c>
      <c r="L251" t="n">
        <v>324.8</v>
      </c>
    </row>
    <row r="252">
      <c r="A252" t="inlineStr">
        <is>
          <t>2026-04</t>
        </is>
      </c>
      <c r="B252" t="inlineStr">
        <is>
          <t>2026-04-21</t>
        </is>
      </c>
      <c r="C252" t="inlineStr">
        <is>
          <t>CC-CC003-0012</t>
        </is>
      </c>
      <c r="D252" t="inlineStr">
        <is>
          <t>TAM</t>
        </is>
      </c>
      <c r="E252" t="inlineStr">
        <is>
          <t>Pastry World Sdn Bhd</t>
        </is>
      </c>
      <c r="F252" t="inlineStr">
        <is>
          <t>Salted Croissant</t>
        </is>
      </c>
      <c r="G252" t="inlineStr">
        <is>
          <t>Carton (4× 7pcs Pack)</t>
        </is>
      </c>
      <c r="H252" s="4" t="n">
        <v>2</v>
      </c>
      <c r="I252" s="4" t="n">
        <v>28</v>
      </c>
      <c r="J252">
        <f>H252*I252</f>
        <v/>
      </c>
      <c r="K252" t="n">
        <v>162.4</v>
      </c>
      <c r="L252" t="n">
        <v>324.8</v>
      </c>
    </row>
    <row r="253">
      <c r="A253" t="inlineStr">
        <is>
          <t>2026-04</t>
        </is>
      </c>
      <c r="B253" t="inlineStr">
        <is>
          <t>2026-04-21</t>
        </is>
      </c>
      <c r="C253" t="inlineStr">
        <is>
          <t>CC-CC002-0023</t>
        </is>
      </c>
      <c r="D253" t="inlineStr">
        <is>
          <t>SA</t>
        </is>
      </c>
      <c r="E253" t="inlineStr">
        <is>
          <t>Pastry World Sdn Bhd</t>
        </is>
      </c>
      <c r="F253" t="inlineStr">
        <is>
          <t>Salted Croissant</t>
        </is>
      </c>
      <c r="G253" t="inlineStr">
        <is>
          <t>Carton (4× 7pcs Pack)</t>
        </is>
      </c>
      <c r="H253" s="4" t="n">
        <v>2</v>
      </c>
      <c r="I253" s="4" t="n">
        <v>28</v>
      </c>
      <c r="J253">
        <f>H253*I253</f>
        <v/>
      </c>
      <c r="K253" t="n">
        <v>170.52</v>
      </c>
      <c r="L253" t="n">
        <v>341.04</v>
      </c>
    </row>
    <row r="254">
      <c r="A254" t="inlineStr">
        <is>
          <t>2026-04</t>
        </is>
      </c>
      <c r="B254" t="inlineStr">
        <is>
          <t>2026-04-21</t>
        </is>
      </c>
      <c r="C254" t="inlineStr">
        <is>
          <t>CC-CC001-0024</t>
        </is>
      </c>
      <c r="D254" t="inlineStr">
        <is>
          <t>PJ</t>
        </is>
      </c>
      <c r="E254" t="inlineStr">
        <is>
          <t>Pastry World Sdn Bhd</t>
        </is>
      </c>
      <c r="F254" t="inlineStr">
        <is>
          <t>Salted Croissant</t>
        </is>
      </c>
      <c r="G254" t="inlineStr">
        <is>
          <t>Carton (4× 7pcs Pack)</t>
        </is>
      </c>
      <c r="H254" s="4" t="n">
        <v>2</v>
      </c>
      <c r="I254" s="4" t="n">
        <v>28</v>
      </c>
      <c r="J254">
        <f>H254*I254</f>
        <v/>
      </c>
      <c r="K254" t="n">
        <v>170.52</v>
      </c>
      <c r="L254" t="n">
        <v>341.04</v>
      </c>
    </row>
    <row r="255">
      <c r="A255" t="inlineStr">
        <is>
          <t>2026-05</t>
        </is>
      </c>
      <c r="B255" t="inlineStr">
        <is>
          <t>2026-05-10</t>
        </is>
      </c>
      <c r="C255" t="inlineStr">
        <is>
          <t>CC-CC001-0102</t>
        </is>
      </c>
      <c r="D255" t="inlineStr">
        <is>
          <t>PJ</t>
        </is>
      </c>
      <c r="E255" t="inlineStr">
        <is>
          <t>Pastry World Sdn Bhd</t>
        </is>
      </c>
      <c r="F255" t="inlineStr">
        <is>
          <t>Salted Croissant</t>
        </is>
      </c>
      <c r="G255" t="inlineStr">
        <is>
          <t>Carton (4× 7pcs Pack)</t>
        </is>
      </c>
      <c r="H255" s="4" t="n">
        <v>2</v>
      </c>
      <c r="I255" s="4" t="n">
        <v>28</v>
      </c>
      <c r="J255">
        <f>H255*I255</f>
        <v/>
      </c>
      <c r="K255" t="n">
        <v>170.52</v>
      </c>
      <c r="L255" t="n">
        <v>341.04</v>
      </c>
    </row>
    <row r="256">
      <c r="A256" t="inlineStr">
        <is>
          <t>2026-05</t>
        </is>
      </c>
      <c r="B256" t="inlineStr">
        <is>
          <t>2026-05-10</t>
        </is>
      </c>
      <c r="C256" t="inlineStr">
        <is>
          <t>CC-CC002-0085</t>
        </is>
      </c>
      <c r="D256" t="inlineStr">
        <is>
          <t>SA</t>
        </is>
      </c>
      <c r="E256" t="inlineStr">
        <is>
          <t>Pastry World Sdn Bhd</t>
        </is>
      </c>
      <c r="F256" t="inlineStr">
        <is>
          <t>Salted Croissant</t>
        </is>
      </c>
      <c r="G256" t="inlineStr">
        <is>
          <t>Carton (4× 7pcs Pack)</t>
        </is>
      </c>
      <c r="H256" s="4" t="n">
        <v>2</v>
      </c>
      <c r="I256" s="4" t="n">
        <v>28</v>
      </c>
      <c r="J256">
        <f>H256*I256</f>
        <v/>
      </c>
      <c r="K256" t="n">
        <v>170.52</v>
      </c>
      <c r="L256" t="n">
        <v>341.04</v>
      </c>
    </row>
    <row r="257">
      <c r="A257" t="inlineStr">
        <is>
          <t>2026-05</t>
        </is>
      </c>
      <c r="B257" t="inlineStr">
        <is>
          <t>2026-05-10</t>
        </is>
      </c>
      <c r="C257" t="inlineStr">
        <is>
          <t>CC-CC003-0056</t>
        </is>
      </c>
      <c r="D257" t="inlineStr">
        <is>
          <t>TAM</t>
        </is>
      </c>
      <c r="E257" t="inlineStr">
        <is>
          <t>Pastry World Sdn Bhd</t>
        </is>
      </c>
      <c r="F257" t="inlineStr">
        <is>
          <t>Salted Croissant</t>
        </is>
      </c>
      <c r="G257" t="inlineStr">
        <is>
          <t>Carton (4× 7pcs Pack)</t>
        </is>
      </c>
      <c r="H257" s="4" t="n">
        <v>2</v>
      </c>
      <c r="I257" s="4" t="n">
        <v>28</v>
      </c>
      <c r="J257">
        <f>H257*I257</f>
        <v/>
      </c>
      <c r="K257" t="n">
        <v>170.52</v>
      </c>
      <c r="L257" t="n">
        <v>341.04</v>
      </c>
    </row>
    <row r="258">
      <c r="A258" t="inlineStr">
        <is>
          <t>2026-05</t>
        </is>
      </c>
      <c r="B258" t="inlineStr">
        <is>
          <t>2026-05-17</t>
        </is>
      </c>
      <c r="C258" t="inlineStr">
        <is>
          <t>CC-CC001-0126</t>
        </is>
      </c>
      <c r="D258" t="inlineStr">
        <is>
          <t>PJ</t>
        </is>
      </c>
      <c r="E258" t="inlineStr">
        <is>
          <t>Pastry World Sdn Bhd</t>
        </is>
      </c>
      <c r="F258" t="inlineStr">
        <is>
          <t>Salted Croissant</t>
        </is>
      </c>
      <c r="G258" t="inlineStr">
        <is>
          <t>Carton (4× 7pcs Pack)</t>
        </is>
      </c>
      <c r="H258" s="4" t="n">
        <v>2</v>
      </c>
      <c r="I258" s="4" t="n">
        <v>28</v>
      </c>
      <c r="J258">
        <f>H258*I258</f>
        <v/>
      </c>
      <c r="K258" t="n">
        <v>170.52</v>
      </c>
      <c r="L258" t="n">
        <v>341.04</v>
      </c>
    </row>
    <row r="259">
      <c r="A259" t="inlineStr">
        <is>
          <t>2026-05</t>
        </is>
      </c>
      <c r="B259" t="inlineStr">
        <is>
          <t>2026-05-17</t>
        </is>
      </c>
      <c r="C259" t="inlineStr">
        <is>
          <t>CC-CC003-0074</t>
        </is>
      </c>
      <c r="D259" t="inlineStr">
        <is>
          <t>TAM</t>
        </is>
      </c>
      <c r="E259" t="inlineStr">
        <is>
          <t>Pastry World Sdn Bhd</t>
        </is>
      </c>
      <c r="F259" t="inlineStr">
        <is>
          <t>Salted Croissant</t>
        </is>
      </c>
      <c r="G259" t="inlineStr">
        <is>
          <t>Carton (4× 7pcs Pack)</t>
        </is>
      </c>
      <c r="H259" s="4" t="n">
        <v>2</v>
      </c>
      <c r="I259" s="4" t="n">
        <v>28</v>
      </c>
      <c r="J259">
        <f>H259*I259</f>
        <v/>
      </c>
      <c r="K259" t="n">
        <v>170.52</v>
      </c>
      <c r="L259" t="n">
        <v>341.04</v>
      </c>
    </row>
    <row r="260">
      <c r="A260" t="inlineStr">
        <is>
          <t>2026-05</t>
        </is>
      </c>
      <c r="B260" t="inlineStr">
        <is>
          <t>2026-05-17</t>
        </is>
      </c>
      <c r="C260" t="inlineStr">
        <is>
          <t>CC-CC002-0108</t>
        </is>
      </c>
      <c r="D260" t="inlineStr">
        <is>
          <t>SA</t>
        </is>
      </c>
      <c r="E260" t="inlineStr">
        <is>
          <t>Pastry World Sdn Bhd</t>
        </is>
      </c>
      <c r="F260" t="inlineStr">
        <is>
          <t>Salted Croissant</t>
        </is>
      </c>
      <c r="G260" t="inlineStr">
        <is>
          <t>Carton (4× 7pcs Pack)</t>
        </is>
      </c>
      <c r="H260" s="4" t="n">
        <v>2</v>
      </c>
      <c r="I260" s="4" t="n">
        <v>28</v>
      </c>
      <c r="J260">
        <f>H260*I260</f>
        <v/>
      </c>
      <c r="K260" t="n">
        <v>170.52</v>
      </c>
      <c r="L260" t="n">
        <v>341.04</v>
      </c>
    </row>
    <row r="261">
      <c r="A261" t="inlineStr">
        <is>
          <t>2026-06</t>
        </is>
      </c>
      <c r="B261" t="inlineStr">
        <is>
          <t>2026-06-10</t>
        </is>
      </c>
      <c r="C261" t="inlineStr">
        <is>
          <t>CC-CC001-0199</t>
        </is>
      </c>
      <c r="D261" t="inlineStr">
        <is>
          <t>PJ</t>
        </is>
      </c>
      <c r="E261" t="inlineStr">
        <is>
          <t>Pastry World Sdn Bhd</t>
        </is>
      </c>
      <c r="F261" t="inlineStr">
        <is>
          <t>Salted Croissant</t>
        </is>
      </c>
      <c r="G261" t="inlineStr">
        <is>
          <t>Carton (4× 7pcs Pack)</t>
        </is>
      </c>
      <c r="H261" s="4" t="n">
        <v>4</v>
      </c>
      <c r="I261" s="4" t="n">
        <v>28</v>
      </c>
      <c r="J261">
        <f>H261*I261</f>
        <v/>
      </c>
      <c r="K261" t="n">
        <v>170.52</v>
      </c>
      <c r="L261" t="n">
        <v>682.08</v>
      </c>
    </row>
    <row r="262">
      <c r="A262" t="inlineStr">
        <is>
          <t>2026-06</t>
        </is>
      </c>
      <c r="B262" t="inlineStr">
        <is>
          <t>2026-06-10</t>
        </is>
      </c>
      <c r="C262" t="inlineStr">
        <is>
          <t>CC-CC002-0185</t>
        </is>
      </c>
      <c r="D262" t="inlineStr">
        <is>
          <t>SA</t>
        </is>
      </c>
      <c r="E262" t="inlineStr">
        <is>
          <t>Pastry World Sdn Bhd</t>
        </is>
      </c>
      <c r="F262" t="inlineStr">
        <is>
          <t>Salted Croissant</t>
        </is>
      </c>
      <c r="G262" t="inlineStr">
        <is>
          <t>Carton (4× 7pcs Pack)</t>
        </is>
      </c>
      <c r="H262" s="4" t="n">
        <v>2</v>
      </c>
      <c r="I262" s="4" t="n">
        <v>28</v>
      </c>
      <c r="J262">
        <f>H262*I262</f>
        <v/>
      </c>
      <c r="K262" t="n">
        <v>170.52</v>
      </c>
      <c r="L262" t="n">
        <v>341.04</v>
      </c>
    </row>
    <row r="263">
      <c r="A263" t="inlineStr">
        <is>
          <t>2026-07</t>
        </is>
      </c>
      <c r="B263" t="inlineStr">
        <is>
          <t>2026-07-05</t>
        </is>
      </c>
      <c r="C263" t="inlineStr">
        <is>
          <t>CC-CC001-0268</t>
        </is>
      </c>
      <c r="D263" t="inlineStr">
        <is>
          <t>PJ</t>
        </is>
      </c>
      <c r="E263" t="inlineStr">
        <is>
          <t>Pastry World Sdn Bhd</t>
        </is>
      </c>
      <c r="F263" t="inlineStr">
        <is>
          <t>Salted Croissant</t>
        </is>
      </c>
      <c r="G263" t="inlineStr">
        <is>
          <t>Carton (4× 7pcs Pack)</t>
        </is>
      </c>
      <c r="H263" s="4" t="n">
        <v>2</v>
      </c>
      <c r="I263" s="4" t="n">
        <v>28</v>
      </c>
      <c r="J263">
        <f>H263*I263</f>
        <v/>
      </c>
      <c r="K263" t="n">
        <v>170.52</v>
      </c>
      <c r="L263" t="n">
        <v>341.04</v>
      </c>
    </row>
    <row r="264">
      <c r="A264" t="inlineStr">
        <is>
          <t>2026-07</t>
        </is>
      </c>
      <c r="B264" t="inlineStr">
        <is>
          <t>2026-07-05</t>
        </is>
      </c>
      <c r="C264" t="inlineStr">
        <is>
          <t>CC-CC002-0254</t>
        </is>
      </c>
      <c r="D264" t="inlineStr">
        <is>
          <t>SA</t>
        </is>
      </c>
      <c r="E264" t="inlineStr">
        <is>
          <t>Pastry World Sdn Bhd</t>
        </is>
      </c>
      <c r="F264" t="inlineStr">
        <is>
          <t>Salted Croissant</t>
        </is>
      </c>
      <c r="G264" t="inlineStr">
        <is>
          <t>Carton (4× 7pcs Pack)</t>
        </is>
      </c>
      <c r="H264" s="4" t="n">
        <v>2</v>
      </c>
      <c r="I264" s="4" t="n">
        <v>28</v>
      </c>
      <c r="J264">
        <f>H264*I264</f>
        <v/>
      </c>
      <c r="K264" t="n">
        <v>170.52</v>
      </c>
      <c r="L264" t="n">
        <v>341.04</v>
      </c>
    </row>
    <row r="265">
      <c r="A265" t="inlineStr">
        <is>
          <t>2026-07</t>
        </is>
      </c>
      <c r="B265" t="inlineStr">
        <is>
          <t>2026-07-05</t>
        </is>
      </c>
      <c r="C265" t="inlineStr">
        <is>
          <t>CC-CC003-0176</t>
        </is>
      </c>
      <c r="D265" t="inlineStr">
        <is>
          <t>TAM</t>
        </is>
      </c>
      <c r="E265" t="inlineStr">
        <is>
          <t>Pastry World Sdn Bhd</t>
        </is>
      </c>
      <c r="F265" t="inlineStr">
        <is>
          <t>Salted Croissant</t>
        </is>
      </c>
      <c r="G265" t="inlineStr">
        <is>
          <t>Carton (4× 7pcs Pack)</t>
        </is>
      </c>
      <c r="H265" s="4" t="n">
        <v>2</v>
      </c>
      <c r="I265" s="4" t="n">
        <v>28</v>
      </c>
      <c r="J265">
        <f>H265*I265</f>
        <v/>
      </c>
      <c r="K265" t="n">
        <v>170.52</v>
      </c>
      <c r="L265" t="n">
        <v>341.04</v>
      </c>
    </row>
    <row r="266">
      <c r="A266" t="inlineStr">
        <is>
          <t>2026-07</t>
        </is>
      </c>
      <c r="B266" t="inlineStr">
        <is>
          <t>2026-07-16</t>
        </is>
      </c>
      <c r="C266" t="inlineStr">
        <is>
          <t>CC-CC001-0296</t>
        </is>
      </c>
      <c r="D266" t="inlineStr">
        <is>
          <t>PJ</t>
        </is>
      </c>
      <c r="E266" t="inlineStr">
        <is>
          <t>Pastry World Sdn Bhd</t>
        </is>
      </c>
      <c r="F266" t="inlineStr">
        <is>
          <t>Salted Croissant</t>
        </is>
      </c>
      <c r="G266" t="inlineStr">
        <is>
          <t>Carton (4× 7pcs Pack)</t>
        </is>
      </c>
      <c r="H266" s="4" t="n">
        <v>2</v>
      </c>
      <c r="I266" s="4" t="n">
        <v>28</v>
      </c>
      <c r="J266">
        <f>H266*I266</f>
        <v/>
      </c>
      <c r="K266" t="n">
        <v>170.52</v>
      </c>
      <c r="L266" t="n">
        <v>341.04</v>
      </c>
    </row>
    <row r="267">
      <c r="A267" t="inlineStr">
        <is>
          <t>2026-07</t>
        </is>
      </c>
      <c r="B267" t="inlineStr">
        <is>
          <t>2026-07-16</t>
        </is>
      </c>
      <c r="C267" t="inlineStr">
        <is>
          <t>CC-CC003-0198</t>
        </is>
      </c>
      <c r="D267" t="inlineStr">
        <is>
          <t>TAM</t>
        </is>
      </c>
      <c r="E267" t="inlineStr">
        <is>
          <t>Pastry World Sdn Bhd</t>
        </is>
      </c>
      <c r="F267" t="inlineStr">
        <is>
          <t>Salted Croissant</t>
        </is>
      </c>
      <c r="G267" t="inlineStr">
        <is>
          <t>Carton (4× 7pcs Pack)</t>
        </is>
      </c>
      <c r="H267" s="4" t="n">
        <v>2</v>
      </c>
      <c r="I267" s="4" t="n">
        <v>28</v>
      </c>
      <c r="J267">
        <f>H267*I267</f>
        <v/>
      </c>
      <c r="K267" t="n">
        <v>170.52</v>
      </c>
      <c r="L267" t="n">
        <v>341.04</v>
      </c>
    </row>
    <row r="268">
      <c r="A268" t="inlineStr">
        <is>
          <t>2026-07</t>
        </is>
      </c>
      <c r="B268" t="inlineStr">
        <is>
          <t>2026-07-16</t>
        </is>
      </c>
      <c r="C268" t="inlineStr">
        <is>
          <t>CC-CC002-0287</t>
        </is>
      </c>
      <c r="D268" t="inlineStr">
        <is>
          <t>SA</t>
        </is>
      </c>
      <c r="E268" t="inlineStr">
        <is>
          <t>Pastry World Sdn Bhd</t>
        </is>
      </c>
      <c r="F268" t="inlineStr">
        <is>
          <t>Salted Croissant</t>
        </is>
      </c>
      <c r="G268" t="inlineStr">
        <is>
          <t>Carton (4× 7pcs Pack)</t>
        </is>
      </c>
      <c r="H268" s="4" t="n">
        <v>2</v>
      </c>
      <c r="I268" s="4" t="n">
        <v>28</v>
      </c>
      <c r="J268">
        <f>H268*I268</f>
        <v/>
      </c>
      <c r="K268" t="n">
        <v>170.52</v>
      </c>
      <c r="L268" t="n">
        <v>341.04</v>
      </c>
    </row>
    <row r="269">
      <c r="A269" t="inlineStr">
        <is>
          <t>2026-04</t>
        </is>
      </c>
      <c r="B269" t="inlineStr">
        <is>
          <t>2026-04-16</t>
        </is>
      </c>
      <c r="C269" t="inlineStr">
        <is>
          <t>PC-CC002-0001</t>
        </is>
      </c>
      <c r="D269" t="inlineStr">
        <is>
          <t>SA</t>
        </is>
      </c>
      <c r="E269" t="inlineStr">
        <is>
          <t>Ad-hoc Purchase</t>
        </is>
      </c>
      <c r="F269" t="inlineStr">
        <is>
          <t>Telur Omega</t>
        </is>
      </c>
      <c r="G269" t="inlineStr">
        <is>
          <t>(no pkg)</t>
        </is>
      </c>
      <c r="H269" s="4" t="n">
        <v>1</v>
      </c>
      <c r="I269" s="4" t="n">
        <v>1</v>
      </c>
      <c r="J269">
        <f>H269*I269</f>
        <v/>
      </c>
      <c r="K269" t="n">
        <v>54</v>
      </c>
      <c r="L269" t="n">
        <v>54</v>
      </c>
    </row>
    <row r="270">
      <c r="A270" t="inlineStr">
        <is>
          <t>2026-04</t>
        </is>
      </c>
      <c r="B270" t="inlineStr">
        <is>
          <t>2026-04-18</t>
        </is>
      </c>
      <c r="C270" t="inlineStr">
        <is>
          <t>PC-CC001-0010</t>
        </is>
      </c>
      <c r="D270" t="inlineStr">
        <is>
          <t>PJ</t>
        </is>
      </c>
      <c r="E270" t="inlineStr">
        <is>
          <t>Ad-hoc Purchase</t>
        </is>
      </c>
      <c r="F270" t="inlineStr">
        <is>
          <t>Telur Omega</t>
        </is>
      </c>
      <c r="G270" t="inlineStr">
        <is>
          <t>(no pkg)</t>
        </is>
      </c>
      <c r="H270" s="4" t="n">
        <v>1</v>
      </c>
      <c r="I270" s="4" t="n">
        <v>1</v>
      </c>
      <c r="J270">
        <f>H270*I270</f>
        <v/>
      </c>
      <c r="K270" t="n">
        <v>13</v>
      </c>
      <c r="L270" t="n">
        <v>13</v>
      </c>
    </row>
    <row r="271">
      <c r="A271" t="inlineStr">
        <is>
          <t>2026-04</t>
        </is>
      </c>
      <c r="B271" t="inlineStr">
        <is>
          <t>2026-04-18</t>
        </is>
      </c>
      <c r="C271" t="inlineStr">
        <is>
          <t>PC-CC002-0010</t>
        </is>
      </c>
      <c r="D271" t="inlineStr">
        <is>
          <t>SA</t>
        </is>
      </c>
      <c r="E271" t="inlineStr">
        <is>
          <t>Ad-hoc Purchase</t>
        </is>
      </c>
      <c r="F271" t="inlineStr">
        <is>
          <t>Telur Omega</t>
        </is>
      </c>
      <c r="G271" t="inlineStr">
        <is>
          <t>(no pkg)</t>
        </is>
      </c>
      <c r="H271" s="4" t="n">
        <v>1</v>
      </c>
      <c r="I271" s="4" t="n">
        <v>1</v>
      </c>
      <c r="J271">
        <f>H271*I271</f>
        <v/>
      </c>
      <c r="K271" t="n">
        <v>19.5</v>
      </c>
      <c r="L271" t="n">
        <v>19.5</v>
      </c>
    </row>
    <row r="272">
      <c r="A272" t="inlineStr">
        <is>
          <t>2026-04</t>
        </is>
      </c>
      <c r="B272" t="inlineStr">
        <is>
          <t>2026-04-18</t>
        </is>
      </c>
      <c r="C272" t="inlineStr">
        <is>
          <t>PC-CC002-0012</t>
        </is>
      </c>
      <c r="D272" t="inlineStr">
        <is>
          <t>SA</t>
        </is>
      </c>
      <c r="E272" t="inlineStr">
        <is>
          <t>Ad-hoc Purchase</t>
        </is>
      </c>
      <c r="F272" t="inlineStr">
        <is>
          <t>Telur Omega</t>
        </is>
      </c>
      <c r="G272" t="inlineStr">
        <is>
          <t>(no pkg)</t>
        </is>
      </c>
      <c r="H272" s="4" t="n">
        <v>3</v>
      </c>
      <c r="I272" s="4" t="n">
        <v>1</v>
      </c>
      <c r="J272">
        <f>H272*I272</f>
        <v/>
      </c>
      <c r="K272" t="n">
        <v>19.5</v>
      </c>
      <c r="L272" t="n">
        <v>58.5</v>
      </c>
    </row>
    <row r="273">
      <c r="A273" t="inlineStr">
        <is>
          <t>2026-04</t>
        </is>
      </c>
      <c r="B273" t="inlineStr">
        <is>
          <t>2026-04-18</t>
        </is>
      </c>
      <c r="C273" t="inlineStr">
        <is>
          <t>PC-CC001-0023</t>
        </is>
      </c>
      <c r="D273" t="inlineStr">
        <is>
          <t>PJ</t>
        </is>
      </c>
      <c r="E273" t="inlineStr">
        <is>
          <t>Ad-hoc Purchase</t>
        </is>
      </c>
      <c r="F273" t="inlineStr">
        <is>
          <t>Telur Omega</t>
        </is>
      </c>
      <c r="G273" t="inlineStr">
        <is>
          <t>(no pkg)</t>
        </is>
      </c>
      <c r="H273" s="4" t="n">
        <v>1</v>
      </c>
      <c r="I273" s="4" t="n">
        <v>1</v>
      </c>
      <c r="J273">
        <f>H273*I273</f>
        <v/>
      </c>
      <c r="K273" t="n">
        <v>24.4</v>
      </c>
      <c r="L273" t="n">
        <v>24.4</v>
      </c>
    </row>
    <row r="274">
      <c r="A274" t="inlineStr">
        <is>
          <t>2026-04</t>
        </is>
      </c>
      <c r="B274" t="inlineStr">
        <is>
          <t>2026-04-23</t>
        </is>
      </c>
      <c r="C274" t="inlineStr">
        <is>
          <t>PC-CC002-0022</t>
        </is>
      </c>
      <c r="D274" t="inlineStr">
        <is>
          <t>SA</t>
        </is>
      </c>
      <c r="E274" t="inlineStr">
        <is>
          <t>Ad-hoc Purchase</t>
        </is>
      </c>
      <c r="F274" t="inlineStr">
        <is>
          <t>Telur Omega</t>
        </is>
      </c>
      <c r="G274" t="inlineStr">
        <is>
          <t>(no pkg)</t>
        </is>
      </c>
      <c r="H274" s="4" t="n">
        <v>2</v>
      </c>
      <c r="I274" s="4" t="n">
        <v>1</v>
      </c>
      <c r="J274">
        <f>H274*I274</f>
        <v/>
      </c>
      <c r="K274" t="n">
        <v>19.5</v>
      </c>
      <c r="L274" t="n">
        <v>39</v>
      </c>
    </row>
    <row r="275">
      <c r="A275" t="inlineStr">
        <is>
          <t>2026-04</t>
        </is>
      </c>
      <c r="B275" t="inlineStr">
        <is>
          <t>2026-04-23</t>
        </is>
      </c>
      <c r="C275" t="inlineStr">
        <is>
          <t>PC-CC001-0026</t>
        </is>
      </c>
      <c r="D275" t="inlineStr">
        <is>
          <t>PJ</t>
        </is>
      </c>
      <c r="E275" t="inlineStr">
        <is>
          <t>Ad-hoc Purchase</t>
        </is>
      </c>
      <c r="F275" t="inlineStr">
        <is>
          <t>Telur Omega</t>
        </is>
      </c>
      <c r="G275" t="inlineStr">
        <is>
          <t>(no pkg)</t>
        </is>
      </c>
      <c r="H275" s="4" t="n">
        <v>1</v>
      </c>
      <c r="I275" s="4" t="n">
        <v>1</v>
      </c>
      <c r="J275">
        <f>H275*I275</f>
        <v/>
      </c>
      <c r="K275" t="n">
        <v>5.3</v>
      </c>
      <c r="L275" t="n">
        <v>5.3</v>
      </c>
    </row>
    <row r="276">
      <c r="A276" t="inlineStr">
        <is>
          <t>2026-04</t>
        </is>
      </c>
      <c r="B276" t="inlineStr">
        <is>
          <t>2026-04-23</t>
        </is>
      </c>
      <c r="C276" t="inlineStr">
        <is>
          <t>PC-CC003-0019</t>
        </is>
      </c>
      <c r="D276" t="inlineStr">
        <is>
          <t>TAM</t>
        </is>
      </c>
      <c r="E276" t="inlineStr">
        <is>
          <t>Ad-hoc Purchase</t>
        </is>
      </c>
      <c r="F276" t="inlineStr">
        <is>
          <t>Telur Omega</t>
        </is>
      </c>
      <c r="G276" t="inlineStr">
        <is>
          <t>(no pkg)</t>
        </is>
      </c>
      <c r="H276" s="4" t="n">
        <v>1</v>
      </c>
      <c r="I276" s="4" t="n">
        <v>1</v>
      </c>
      <c r="J276">
        <f>H276*I276</f>
        <v/>
      </c>
      <c r="K276" t="n">
        <v>9.5</v>
      </c>
      <c r="L276" t="n">
        <v>9.5</v>
      </c>
    </row>
    <row r="277">
      <c r="A277" t="inlineStr">
        <is>
          <t>2026-04</t>
        </is>
      </c>
      <c r="B277" t="inlineStr">
        <is>
          <t>2026-04-23</t>
        </is>
      </c>
      <c r="C277" t="inlineStr">
        <is>
          <t>PC-CC001-0044</t>
        </is>
      </c>
      <c r="D277" t="inlineStr">
        <is>
          <t>PJ</t>
        </is>
      </c>
      <c r="E277" t="inlineStr">
        <is>
          <t>Ad-hoc Purchase</t>
        </is>
      </c>
      <c r="F277" t="inlineStr">
        <is>
          <t>Telur Omega</t>
        </is>
      </c>
      <c r="G277" t="inlineStr">
        <is>
          <t>(no pkg)</t>
        </is>
      </c>
      <c r="H277" s="4" t="n">
        <v>1</v>
      </c>
      <c r="I277" s="4" t="n">
        <v>1</v>
      </c>
      <c r="J277">
        <f>H277*I277</f>
        <v/>
      </c>
      <c r="K277" t="n">
        <v>23.6</v>
      </c>
      <c r="L277" t="n">
        <v>23.6</v>
      </c>
    </row>
    <row r="278">
      <c r="A278" t="inlineStr">
        <is>
          <t>2026-04</t>
        </is>
      </c>
      <c r="B278" t="inlineStr">
        <is>
          <t>2026-04-26</t>
        </is>
      </c>
      <c r="C278" t="inlineStr">
        <is>
          <t>PC-CC003-0031</t>
        </is>
      </c>
      <c r="D278" t="inlineStr">
        <is>
          <t>TAM</t>
        </is>
      </c>
      <c r="E278" t="inlineStr">
        <is>
          <t>Ad-hoc Purchase</t>
        </is>
      </c>
      <c r="F278" t="inlineStr">
        <is>
          <t>Telur Omega</t>
        </is>
      </c>
      <c r="G278" t="inlineStr">
        <is>
          <t>(no pkg)</t>
        </is>
      </c>
      <c r="H278" s="4" t="n">
        <v>1</v>
      </c>
      <c r="I278" s="4" t="n">
        <v>1</v>
      </c>
      <c r="J278">
        <f>H278*I278</f>
        <v/>
      </c>
      <c r="K278" t="n">
        <v>10.25</v>
      </c>
      <c r="L278" t="n">
        <v>10.25</v>
      </c>
    </row>
    <row r="279">
      <c r="A279" t="inlineStr">
        <is>
          <t>2026-04</t>
        </is>
      </c>
      <c r="B279" t="inlineStr">
        <is>
          <t>2026-04-26</t>
        </is>
      </c>
      <c r="C279" t="inlineStr">
        <is>
          <t>PC-CC001-0062</t>
        </is>
      </c>
      <c r="D279" t="inlineStr">
        <is>
          <t>PJ</t>
        </is>
      </c>
      <c r="E279" t="inlineStr">
        <is>
          <t>Ad-hoc Purchase</t>
        </is>
      </c>
      <c r="F279" t="inlineStr">
        <is>
          <t>Telur Omega</t>
        </is>
      </c>
      <c r="G279" t="inlineStr">
        <is>
          <t>(no pkg)</t>
        </is>
      </c>
      <c r="H279" s="4" t="n">
        <v>1</v>
      </c>
      <c r="I279" s="4" t="n">
        <v>1</v>
      </c>
      <c r="J279">
        <f>H279*I279</f>
        <v/>
      </c>
      <c r="K279" t="n">
        <v>45.6</v>
      </c>
      <c r="L279" t="n">
        <v>45.6</v>
      </c>
    </row>
    <row r="280">
      <c r="A280" t="inlineStr">
        <is>
          <t>2026-05</t>
        </is>
      </c>
      <c r="B280" t="inlineStr">
        <is>
          <t>2026-05-05</t>
        </is>
      </c>
      <c r="C280" t="inlineStr">
        <is>
          <t>CC-CC001-0071</t>
        </is>
      </c>
      <c r="D280" t="inlineStr">
        <is>
          <t>PJ</t>
        </is>
      </c>
      <c r="E280" t="inlineStr">
        <is>
          <t>Yow Seng Sdn Bhd</t>
        </is>
      </c>
      <c r="F280" t="inlineStr">
        <is>
          <t>Telur Omega</t>
        </is>
      </c>
      <c r="G280" t="inlineStr">
        <is>
          <t>10pcs Pack</t>
        </is>
      </c>
      <c r="H280" s="4" t="n">
        <v>15</v>
      </c>
      <c r="I280" s="4" t="n">
        <v>10</v>
      </c>
      <c r="J280">
        <f>H280*I280</f>
        <v/>
      </c>
      <c r="K280" t="n">
        <v>7.5</v>
      </c>
      <c r="L280" t="n">
        <v>112.5</v>
      </c>
    </row>
    <row r="281">
      <c r="A281" t="inlineStr">
        <is>
          <t>2026-05</t>
        </is>
      </c>
      <c r="B281" t="inlineStr">
        <is>
          <t>2026-05-08</t>
        </is>
      </c>
      <c r="C281" t="inlineStr">
        <is>
          <t>PC-CC001-0082</t>
        </is>
      </c>
      <c r="D281" t="inlineStr">
        <is>
          <t>PJ</t>
        </is>
      </c>
      <c r="E281" t="inlineStr">
        <is>
          <t>Ad-hoc Purchase</t>
        </is>
      </c>
      <c r="F281" t="inlineStr">
        <is>
          <t>Telur Omega</t>
        </is>
      </c>
      <c r="G281" t="inlineStr">
        <is>
          <t>10pcs Pack</t>
        </is>
      </c>
      <c r="H281" s="4" t="n">
        <v>5</v>
      </c>
      <c r="I281" s="4" t="n">
        <v>10</v>
      </c>
      <c r="J281">
        <f>H281*I281</f>
        <v/>
      </c>
      <c r="K281" t="n">
        <v>6.5</v>
      </c>
      <c r="L281" t="n">
        <v>32.5</v>
      </c>
    </row>
    <row r="282">
      <c r="A282" t="inlineStr">
        <is>
          <t>2026-05</t>
        </is>
      </c>
      <c r="B282" t="inlineStr">
        <is>
          <t>2026-05-08</t>
        </is>
      </c>
      <c r="C282" t="inlineStr">
        <is>
          <t>PC-CC003-0049</t>
        </is>
      </c>
      <c r="D282" t="inlineStr">
        <is>
          <t>TAM</t>
        </is>
      </c>
      <c r="E282" t="inlineStr">
        <is>
          <t>Ad-hoc Purchase</t>
        </is>
      </c>
      <c r="F282" t="inlineStr">
        <is>
          <t>Telur Omega</t>
        </is>
      </c>
      <c r="G282" t="inlineStr">
        <is>
          <t>10pcs Pack</t>
        </is>
      </c>
      <c r="H282" s="4" t="n">
        <v>1</v>
      </c>
      <c r="I282" s="4" t="n">
        <v>10</v>
      </c>
      <c r="J282">
        <f>H282*I282</f>
        <v/>
      </c>
      <c r="K282" t="n">
        <v>10.25</v>
      </c>
      <c r="L282" t="n">
        <v>10.25</v>
      </c>
    </row>
    <row r="283">
      <c r="A283" t="inlineStr">
        <is>
          <t>2026-05</t>
        </is>
      </c>
      <c r="B283" t="inlineStr">
        <is>
          <t>2026-05-08</t>
        </is>
      </c>
      <c r="C283" t="inlineStr">
        <is>
          <t>PC-CC001-0088</t>
        </is>
      </c>
      <c r="D283" t="inlineStr">
        <is>
          <t>PJ</t>
        </is>
      </c>
      <c r="E283" t="inlineStr">
        <is>
          <t>Ad-hoc Purchase</t>
        </is>
      </c>
      <c r="F283" t="inlineStr">
        <is>
          <t>Telur Omega</t>
        </is>
      </c>
      <c r="G283" t="inlineStr">
        <is>
          <t>10pcs Pack</t>
        </is>
      </c>
      <c r="H283" s="4" t="n">
        <v>3</v>
      </c>
      <c r="I283" s="4" t="n">
        <v>10</v>
      </c>
      <c r="J283">
        <f>H283*I283</f>
        <v/>
      </c>
      <c r="K283" t="n">
        <v>6.5</v>
      </c>
      <c r="L283" t="n">
        <v>19.5</v>
      </c>
    </row>
    <row r="284">
      <c r="A284" t="inlineStr">
        <is>
          <t>2026-05</t>
        </is>
      </c>
      <c r="B284" t="inlineStr">
        <is>
          <t>2026-05-10</t>
        </is>
      </c>
      <c r="C284" t="inlineStr">
        <is>
          <t>CC-CC003-0046</t>
        </is>
      </c>
      <c r="D284" t="inlineStr">
        <is>
          <t>TAM</t>
        </is>
      </c>
      <c r="E284" t="inlineStr">
        <is>
          <t>Yow Seng Sdn Bhd</t>
        </is>
      </c>
      <c r="F284" t="inlineStr">
        <is>
          <t>Telur Omega</t>
        </is>
      </c>
      <c r="G284" t="inlineStr">
        <is>
          <t>10pcs Pack</t>
        </is>
      </c>
      <c r="H284" s="4" t="n">
        <v>15</v>
      </c>
      <c r="I284" s="4" t="n">
        <v>10</v>
      </c>
      <c r="J284">
        <f>H284*I284</f>
        <v/>
      </c>
      <c r="K284" t="n">
        <v>7.5</v>
      </c>
      <c r="L284" t="n">
        <v>112.5</v>
      </c>
    </row>
    <row r="285">
      <c r="A285" t="inlineStr">
        <is>
          <t>2026-05</t>
        </is>
      </c>
      <c r="B285" t="inlineStr">
        <is>
          <t>2026-05-10</t>
        </is>
      </c>
      <c r="C285" t="inlineStr">
        <is>
          <t>CC-CC002-0074</t>
        </is>
      </c>
      <c r="D285" t="inlineStr">
        <is>
          <t>SA</t>
        </is>
      </c>
      <c r="E285" t="inlineStr">
        <is>
          <t>Yow Seng Sdn Bhd</t>
        </is>
      </c>
      <c r="F285" t="inlineStr">
        <is>
          <t>Telur Omega</t>
        </is>
      </c>
      <c r="G285" t="inlineStr">
        <is>
          <t>10pcs Pack</t>
        </is>
      </c>
      <c r="H285" s="4" t="n">
        <v>30</v>
      </c>
      <c r="I285" s="4" t="n">
        <v>10</v>
      </c>
      <c r="J285">
        <f>H285*I285</f>
        <v/>
      </c>
      <c r="K285" t="n">
        <v>7.5</v>
      </c>
      <c r="L285" t="n">
        <v>225</v>
      </c>
    </row>
    <row r="286">
      <c r="A286" t="inlineStr">
        <is>
          <t>2026-05</t>
        </is>
      </c>
      <c r="B286" t="inlineStr">
        <is>
          <t>2026-05-13</t>
        </is>
      </c>
      <c r="C286" t="inlineStr">
        <is>
          <t>CC-CC001-0122</t>
        </is>
      </c>
      <c r="D286" t="inlineStr">
        <is>
          <t>PJ</t>
        </is>
      </c>
      <c r="E286" t="inlineStr">
        <is>
          <t>Yow Seng Sdn Bhd</t>
        </is>
      </c>
      <c r="F286" t="inlineStr">
        <is>
          <t>Telur Omega</t>
        </is>
      </c>
      <c r="G286" t="inlineStr">
        <is>
          <t>10pcs Pack</t>
        </is>
      </c>
      <c r="H286" s="4" t="n">
        <v>15</v>
      </c>
      <c r="I286" s="4" t="n">
        <v>10</v>
      </c>
      <c r="J286">
        <f>H286*I286</f>
        <v/>
      </c>
      <c r="K286" t="n">
        <v>7.5</v>
      </c>
      <c r="L286" t="n">
        <v>112.5</v>
      </c>
    </row>
    <row r="287">
      <c r="A287" t="inlineStr">
        <is>
          <t>2026-05</t>
        </is>
      </c>
      <c r="B287" t="inlineStr">
        <is>
          <t>2026-05-13</t>
        </is>
      </c>
      <c r="C287" t="inlineStr">
        <is>
          <t>CC-CC002-0103</t>
        </is>
      </c>
      <c r="D287" t="inlineStr">
        <is>
          <t>SA</t>
        </is>
      </c>
      <c r="E287" t="inlineStr">
        <is>
          <t>Yow Seng Sdn Bhd</t>
        </is>
      </c>
      <c r="F287" t="inlineStr">
        <is>
          <t>Telur Omega</t>
        </is>
      </c>
      <c r="G287" t="inlineStr">
        <is>
          <t>10pcs Pack</t>
        </is>
      </c>
      <c r="H287" s="4" t="n">
        <v>15</v>
      </c>
      <c r="I287" s="4" t="n">
        <v>10</v>
      </c>
      <c r="J287">
        <f>H287*I287</f>
        <v/>
      </c>
      <c r="K287" t="n">
        <v>7.5</v>
      </c>
      <c r="L287" t="n">
        <v>112.5</v>
      </c>
    </row>
    <row r="288">
      <c r="A288" t="inlineStr">
        <is>
          <t>2026-05</t>
        </is>
      </c>
      <c r="B288" t="inlineStr">
        <is>
          <t>2026-05-13</t>
        </is>
      </c>
      <c r="C288" t="inlineStr">
        <is>
          <t>CC-CC003-0072</t>
        </is>
      </c>
      <c r="D288" t="inlineStr">
        <is>
          <t>TAM</t>
        </is>
      </c>
      <c r="E288" t="inlineStr">
        <is>
          <t>Yow Seng Sdn Bhd</t>
        </is>
      </c>
      <c r="F288" t="inlineStr">
        <is>
          <t>Telur Omega</t>
        </is>
      </c>
      <c r="G288" t="inlineStr">
        <is>
          <t>10pcs Pack</t>
        </is>
      </c>
      <c r="H288" s="4" t="n">
        <v>15</v>
      </c>
      <c r="I288" s="4" t="n">
        <v>10</v>
      </c>
      <c r="J288">
        <f>H288*I288</f>
        <v/>
      </c>
      <c r="K288" t="n">
        <v>7.5</v>
      </c>
      <c r="L288" t="n">
        <v>112.5</v>
      </c>
    </row>
    <row r="289">
      <c r="A289" t="inlineStr">
        <is>
          <t>2026-05</t>
        </is>
      </c>
      <c r="B289" t="inlineStr">
        <is>
          <t>2026-05-14</t>
        </is>
      </c>
      <c r="C289" t="inlineStr">
        <is>
          <t>PC-CC001-0106</t>
        </is>
      </c>
      <c r="D289" t="inlineStr">
        <is>
          <t>PJ</t>
        </is>
      </c>
      <c r="E289" t="inlineStr">
        <is>
          <t>Ad-hoc Purchase</t>
        </is>
      </c>
      <c r="F289" t="inlineStr">
        <is>
          <t>Telur Omega</t>
        </is>
      </c>
      <c r="G289" t="inlineStr">
        <is>
          <t>10pcs Pack</t>
        </is>
      </c>
      <c r="H289" s="4" t="n">
        <v>3</v>
      </c>
      <c r="I289" s="4" t="n">
        <v>10</v>
      </c>
      <c r="J289">
        <f>H289*I289</f>
        <v/>
      </c>
      <c r="K289" t="n">
        <v>6.5</v>
      </c>
      <c r="L289" t="n">
        <v>19.5</v>
      </c>
    </row>
    <row r="290">
      <c r="A290" t="inlineStr">
        <is>
          <t>2026-05</t>
        </is>
      </c>
      <c r="B290" t="inlineStr">
        <is>
          <t>2026-05-14</t>
        </is>
      </c>
      <c r="C290" t="inlineStr">
        <is>
          <t>PC-CC001-0107</t>
        </is>
      </c>
      <c r="D290" t="inlineStr">
        <is>
          <t>PJ</t>
        </is>
      </c>
      <c r="E290" t="inlineStr">
        <is>
          <t>Ad-hoc Purchase</t>
        </is>
      </c>
      <c r="F290" t="inlineStr">
        <is>
          <t>Telur Omega</t>
        </is>
      </c>
      <c r="G290" t="inlineStr">
        <is>
          <t>10pcs Pack</t>
        </is>
      </c>
      <c r="H290" s="4" t="n">
        <v>3</v>
      </c>
      <c r="I290" s="4" t="n">
        <v>10</v>
      </c>
      <c r="J290">
        <f>H290*I290</f>
        <v/>
      </c>
      <c r="K290" t="n">
        <v>6.5</v>
      </c>
      <c r="L290" t="n">
        <v>19.5</v>
      </c>
    </row>
    <row r="291">
      <c r="A291" t="inlineStr">
        <is>
          <t>2026-05</t>
        </is>
      </c>
      <c r="B291" t="inlineStr">
        <is>
          <t>2026-05-14</t>
        </is>
      </c>
      <c r="C291" t="inlineStr">
        <is>
          <t>PC-CC001-0109</t>
        </is>
      </c>
      <c r="D291" t="inlineStr">
        <is>
          <t>PJ</t>
        </is>
      </c>
      <c r="E291" t="inlineStr">
        <is>
          <t>Ad-hoc Purchase</t>
        </is>
      </c>
      <c r="F291" t="inlineStr">
        <is>
          <t>Telur Omega</t>
        </is>
      </c>
      <c r="G291" t="inlineStr">
        <is>
          <t>10pcs Pack</t>
        </is>
      </c>
      <c r="H291" s="4" t="n">
        <v>3</v>
      </c>
      <c r="I291" s="4" t="n">
        <v>10</v>
      </c>
      <c r="J291">
        <f>H291*I291</f>
        <v/>
      </c>
      <c r="K291" t="n">
        <v>6.5</v>
      </c>
      <c r="L291" t="n">
        <v>19.5</v>
      </c>
    </row>
    <row r="292">
      <c r="A292" t="inlineStr">
        <is>
          <t>2026-05</t>
        </is>
      </c>
      <c r="B292" t="inlineStr">
        <is>
          <t>2026-05-14</t>
        </is>
      </c>
      <c r="C292" t="inlineStr">
        <is>
          <t>PC-CC001-0119</t>
        </is>
      </c>
      <c r="D292" t="inlineStr">
        <is>
          <t>PJ</t>
        </is>
      </c>
      <c r="E292" t="inlineStr">
        <is>
          <t>Ad-hoc Purchase</t>
        </is>
      </c>
      <c r="F292" t="inlineStr">
        <is>
          <t>Telur Omega</t>
        </is>
      </c>
      <c r="G292" t="inlineStr">
        <is>
          <t>10pcs Pack</t>
        </is>
      </c>
      <c r="H292" s="4" t="n">
        <v>4</v>
      </c>
      <c r="I292" s="4" t="n">
        <v>10</v>
      </c>
      <c r="J292">
        <f>H292*I292</f>
        <v/>
      </c>
      <c r="K292" t="n">
        <v>6.5</v>
      </c>
      <c r="L292" t="n">
        <v>26</v>
      </c>
    </row>
    <row r="293">
      <c r="A293" t="inlineStr">
        <is>
          <t>2026-05</t>
        </is>
      </c>
      <c r="B293" t="inlineStr">
        <is>
          <t>2026-05-14</t>
        </is>
      </c>
      <c r="C293" t="inlineStr">
        <is>
          <t>PC-CC001-0124</t>
        </is>
      </c>
      <c r="D293" t="inlineStr">
        <is>
          <t>PJ</t>
        </is>
      </c>
      <c r="E293" t="inlineStr">
        <is>
          <t>Ad-hoc Purchase</t>
        </is>
      </c>
      <c r="F293" t="inlineStr">
        <is>
          <t>Telur Omega</t>
        </is>
      </c>
      <c r="G293" t="inlineStr">
        <is>
          <t>10pcs Pack</t>
        </is>
      </c>
      <c r="H293" s="4" t="n">
        <v>4</v>
      </c>
      <c r="I293" s="4" t="n">
        <v>10</v>
      </c>
      <c r="J293">
        <f>H293*I293</f>
        <v/>
      </c>
      <c r="K293" t="n">
        <v>6.5</v>
      </c>
      <c r="L293" t="n">
        <v>26</v>
      </c>
    </row>
    <row r="294">
      <c r="A294" t="inlineStr">
        <is>
          <t>2026-05</t>
        </is>
      </c>
      <c r="B294" t="inlineStr">
        <is>
          <t>2026-05-20</t>
        </is>
      </c>
      <c r="C294" t="inlineStr">
        <is>
          <t>CC-CC002-0128</t>
        </is>
      </c>
      <c r="D294" t="inlineStr">
        <is>
          <t>SA</t>
        </is>
      </c>
      <c r="E294" t="inlineStr">
        <is>
          <t>Yow Seng Sdn Bhd</t>
        </is>
      </c>
      <c r="F294" t="inlineStr">
        <is>
          <t>Telur Omega</t>
        </is>
      </c>
      <c r="G294" t="inlineStr">
        <is>
          <t>10pcs Pack</t>
        </is>
      </c>
      <c r="H294" s="4" t="n">
        <v>15</v>
      </c>
      <c r="I294" s="4" t="n">
        <v>10</v>
      </c>
      <c r="J294">
        <f>H294*I294</f>
        <v/>
      </c>
      <c r="K294" t="n">
        <v>7.5</v>
      </c>
      <c r="L294" t="n">
        <v>112.5</v>
      </c>
    </row>
    <row r="295">
      <c r="A295" t="inlineStr">
        <is>
          <t>2026-05</t>
        </is>
      </c>
      <c r="B295" t="inlineStr">
        <is>
          <t>2026-05-20</t>
        </is>
      </c>
      <c r="C295" t="inlineStr">
        <is>
          <t>CC-CC003-0090</t>
        </is>
      </c>
      <c r="D295" t="inlineStr">
        <is>
          <t>TAM</t>
        </is>
      </c>
      <c r="E295" t="inlineStr">
        <is>
          <t>Yow Seng Sdn Bhd</t>
        </is>
      </c>
      <c r="F295" t="inlineStr">
        <is>
          <t>Telur Omega</t>
        </is>
      </c>
      <c r="G295" t="inlineStr">
        <is>
          <t>10pcs Pack</t>
        </is>
      </c>
      <c r="H295" s="4" t="n">
        <v>15</v>
      </c>
      <c r="I295" s="4" t="n">
        <v>10</v>
      </c>
      <c r="J295">
        <f>H295*I295</f>
        <v/>
      </c>
      <c r="K295" t="n">
        <v>10.1</v>
      </c>
      <c r="L295" t="n">
        <v>151.5</v>
      </c>
    </row>
    <row r="296">
      <c r="A296" t="inlineStr">
        <is>
          <t>2026-05</t>
        </is>
      </c>
      <c r="B296" t="inlineStr">
        <is>
          <t>2026-05-20</t>
        </is>
      </c>
      <c r="C296" t="inlineStr">
        <is>
          <t>CC-CC001-0138</t>
        </is>
      </c>
      <c r="D296" t="inlineStr">
        <is>
          <t>PJ</t>
        </is>
      </c>
      <c r="E296" t="inlineStr">
        <is>
          <t>Yow Seng Sdn Bhd</t>
        </is>
      </c>
      <c r="F296" t="inlineStr">
        <is>
          <t>Telur Omega</t>
        </is>
      </c>
      <c r="G296" t="inlineStr">
        <is>
          <t>10pcs Pack</t>
        </is>
      </c>
      <c r="H296" s="4" t="n">
        <v>30</v>
      </c>
      <c r="I296" s="4" t="n">
        <v>10</v>
      </c>
      <c r="J296">
        <f>H296*I296</f>
        <v/>
      </c>
      <c r="K296" t="n">
        <v>8.800000000000001</v>
      </c>
      <c r="L296" t="n">
        <v>264</v>
      </c>
    </row>
    <row r="297">
      <c r="A297" t="inlineStr">
        <is>
          <t>2026-05</t>
        </is>
      </c>
      <c r="B297" t="inlineStr">
        <is>
          <t>2026-05-24</t>
        </is>
      </c>
      <c r="C297" t="inlineStr">
        <is>
          <t>PC-CC001-0130</t>
        </is>
      </c>
      <c r="D297" t="inlineStr">
        <is>
          <t>PJ</t>
        </is>
      </c>
      <c r="E297" t="inlineStr">
        <is>
          <t>Ad-hoc Purchase</t>
        </is>
      </c>
      <c r="F297" t="inlineStr">
        <is>
          <t>Telur Omega</t>
        </is>
      </c>
      <c r="G297" t="inlineStr">
        <is>
          <t>10pcs Pack</t>
        </is>
      </c>
      <c r="H297" s="4" t="n">
        <v>11</v>
      </c>
      <c r="I297" s="4" t="n">
        <v>10</v>
      </c>
      <c r="J297">
        <f>H297*I297</f>
        <v/>
      </c>
      <c r="K297" t="n">
        <v>6.5</v>
      </c>
      <c r="L297" t="n">
        <v>71.5</v>
      </c>
    </row>
    <row r="298">
      <c r="A298" t="inlineStr">
        <is>
          <t>2026-05</t>
        </is>
      </c>
      <c r="B298" t="inlineStr">
        <is>
          <t>2026-05-24</t>
        </is>
      </c>
      <c r="C298" t="inlineStr">
        <is>
          <t>PC-CC002-0070</t>
        </is>
      </c>
      <c r="D298" t="inlineStr">
        <is>
          <t>SA</t>
        </is>
      </c>
      <c r="E298" t="inlineStr">
        <is>
          <t>Ad-hoc Purchase</t>
        </is>
      </c>
      <c r="F298" t="inlineStr">
        <is>
          <t>Telur Omega</t>
        </is>
      </c>
      <c r="G298" t="inlineStr">
        <is>
          <t>10pcs Pack</t>
        </is>
      </c>
      <c r="H298" s="4" t="n">
        <v>6</v>
      </c>
      <c r="I298" s="4" t="n">
        <v>10</v>
      </c>
      <c r="J298">
        <f>H298*I298</f>
        <v/>
      </c>
      <c r="K298" t="n">
        <v>7.6</v>
      </c>
      <c r="L298" t="n">
        <v>45.6</v>
      </c>
    </row>
    <row r="299">
      <c r="A299" t="inlineStr">
        <is>
          <t>2026-05</t>
        </is>
      </c>
      <c r="B299" t="inlineStr">
        <is>
          <t>2026-05-24</t>
        </is>
      </c>
      <c r="C299" t="inlineStr">
        <is>
          <t>PC-CC003-0070</t>
        </is>
      </c>
      <c r="D299" t="inlineStr">
        <is>
          <t>TAM</t>
        </is>
      </c>
      <c r="E299" t="inlineStr">
        <is>
          <t>Ad-hoc Purchase</t>
        </is>
      </c>
      <c r="F299" t="inlineStr">
        <is>
          <t>Telur Omega</t>
        </is>
      </c>
      <c r="G299" t="inlineStr">
        <is>
          <t>10pcs Pack</t>
        </is>
      </c>
      <c r="H299" s="4" t="n">
        <v>1</v>
      </c>
      <c r="I299" s="4" t="n">
        <v>10</v>
      </c>
      <c r="J299">
        <f>H299*I299</f>
        <v/>
      </c>
      <c r="K299" t="n">
        <v>9.1</v>
      </c>
      <c r="L299" t="n">
        <v>9.1</v>
      </c>
    </row>
    <row r="300">
      <c r="A300" t="inlineStr">
        <is>
          <t>2026-05</t>
        </is>
      </c>
      <c r="B300" t="inlineStr">
        <is>
          <t>2026-05-24</t>
        </is>
      </c>
      <c r="C300" t="inlineStr">
        <is>
          <t>PC-CC001-0147</t>
        </is>
      </c>
      <c r="D300" t="inlineStr">
        <is>
          <t>PJ</t>
        </is>
      </c>
      <c r="E300" t="inlineStr">
        <is>
          <t>Ad-hoc Purchase</t>
        </is>
      </c>
      <c r="F300" t="inlineStr">
        <is>
          <t>Telur Omega</t>
        </is>
      </c>
      <c r="G300" t="inlineStr">
        <is>
          <t>10pcs Pack</t>
        </is>
      </c>
      <c r="H300" s="4" t="n">
        <v>4</v>
      </c>
      <c r="I300" s="4" t="n">
        <v>10</v>
      </c>
      <c r="J300">
        <f>H300*I300</f>
        <v/>
      </c>
      <c r="K300" t="n">
        <v>6.5</v>
      </c>
      <c r="L300" t="n">
        <v>26</v>
      </c>
    </row>
    <row r="301">
      <c r="A301" t="inlineStr">
        <is>
          <t>2026-05</t>
        </is>
      </c>
      <c r="B301" t="inlineStr">
        <is>
          <t>2026-05-24</t>
        </is>
      </c>
      <c r="C301" t="inlineStr">
        <is>
          <t>PC-CC001-0149</t>
        </is>
      </c>
      <c r="D301" t="inlineStr">
        <is>
          <t>PJ</t>
        </is>
      </c>
      <c r="E301" t="inlineStr">
        <is>
          <t>Ad-hoc Purchase</t>
        </is>
      </c>
      <c r="F301" t="inlineStr">
        <is>
          <t>Telur Omega</t>
        </is>
      </c>
      <c r="G301" t="inlineStr">
        <is>
          <t>10pcs Pack</t>
        </is>
      </c>
      <c r="H301" s="4" t="n">
        <v>3</v>
      </c>
      <c r="I301" s="4" t="n">
        <v>10</v>
      </c>
      <c r="J301">
        <f>H301*I301</f>
        <v/>
      </c>
      <c r="K301" t="n">
        <v>6.5</v>
      </c>
      <c r="L301" t="n">
        <v>19.5</v>
      </c>
    </row>
    <row r="302">
      <c r="A302" t="inlineStr">
        <is>
          <t>2026-05</t>
        </is>
      </c>
      <c r="B302" t="inlineStr">
        <is>
          <t>2026-05-24</t>
        </is>
      </c>
      <c r="C302" t="inlineStr">
        <is>
          <t>CC-CC002-0140</t>
        </is>
      </c>
      <c r="D302" t="inlineStr">
        <is>
          <t>SA</t>
        </is>
      </c>
      <c r="E302" t="inlineStr">
        <is>
          <t>Yow Seng Sdn Bhd</t>
        </is>
      </c>
      <c r="F302" t="inlineStr">
        <is>
          <t>Telur Omega</t>
        </is>
      </c>
      <c r="G302" t="inlineStr">
        <is>
          <t>10pcs Pack</t>
        </is>
      </c>
      <c r="H302" s="4" t="n">
        <v>15</v>
      </c>
      <c r="I302" s="4" t="n">
        <v>10</v>
      </c>
      <c r="J302">
        <f>H302*I302</f>
        <v/>
      </c>
      <c r="K302" t="n">
        <v>7.5</v>
      </c>
      <c r="L302" t="n">
        <v>112.5</v>
      </c>
    </row>
    <row r="303">
      <c r="A303" t="inlineStr">
        <is>
          <t>2026-05</t>
        </is>
      </c>
      <c r="B303" t="inlineStr">
        <is>
          <t>2026-05-24</t>
        </is>
      </c>
      <c r="C303" t="inlineStr">
        <is>
          <t>CC-CC001-0150</t>
        </is>
      </c>
      <c r="D303" t="inlineStr">
        <is>
          <t>PJ</t>
        </is>
      </c>
      <c r="E303" t="inlineStr">
        <is>
          <t>Yow Seng Sdn Bhd</t>
        </is>
      </c>
      <c r="F303" t="inlineStr">
        <is>
          <t>Telur Omega</t>
        </is>
      </c>
      <c r="G303" t="inlineStr">
        <is>
          <t>10pcs Pack</t>
        </is>
      </c>
      <c r="H303" s="4" t="n">
        <v>30</v>
      </c>
      <c r="I303" s="4" t="n">
        <v>10</v>
      </c>
      <c r="J303">
        <f>H303*I303</f>
        <v/>
      </c>
      <c r="K303" t="n">
        <v>7.5</v>
      </c>
      <c r="L303" t="n">
        <v>225</v>
      </c>
    </row>
    <row r="304">
      <c r="A304" t="inlineStr">
        <is>
          <t>2026-05</t>
        </is>
      </c>
      <c r="B304" t="inlineStr">
        <is>
          <t>2026-05-24</t>
        </is>
      </c>
      <c r="C304" t="inlineStr">
        <is>
          <t>CC-CC003-0100</t>
        </is>
      </c>
      <c r="D304" t="inlineStr">
        <is>
          <t>TAM</t>
        </is>
      </c>
      <c r="E304" t="inlineStr">
        <is>
          <t>Yow Seng Sdn Bhd</t>
        </is>
      </c>
      <c r="F304" t="inlineStr">
        <is>
          <t>Telur Omega</t>
        </is>
      </c>
      <c r="G304" t="inlineStr">
        <is>
          <t>10pcs Pack</t>
        </is>
      </c>
      <c r="H304" s="4" t="n">
        <v>15</v>
      </c>
      <c r="I304" s="4" t="n">
        <v>10</v>
      </c>
      <c r="J304">
        <f>H304*I304</f>
        <v/>
      </c>
      <c r="K304" t="n">
        <v>7.5</v>
      </c>
      <c r="L304" t="n">
        <v>112.5</v>
      </c>
    </row>
    <row r="305">
      <c r="A305" t="inlineStr">
        <is>
          <t>2026-05</t>
        </is>
      </c>
      <c r="B305" t="inlineStr">
        <is>
          <t>2026-05-25</t>
        </is>
      </c>
      <c r="C305" t="inlineStr">
        <is>
          <t>PC-CC001-0173</t>
        </is>
      </c>
      <c r="D305" t="inlineStr">
        <is>
          <t>PJ</t>
        </is>
      </c>
      <c r="E305" t="inlineStr">
        <is>
          <t>Ad-hoc Purchase</t>
        </is>
      </c>
      <c r="F305" t="inlineStr">
        <is>
          <t>Telur Omega</t>
        </is>
      </c>
      <c r="G305" t="inlineStr">
        <is>
          <t>10pcs Pack</t>
        </is>
      </c>
      <c r="H305" s="4" t="n">
        <v>5</v>
      </c>
      <c r="I305" s="4" t="n">
        <v>10</v>
      </c>
      <c r="J305">
        <f>H305*I305</f>
        <v/>
      </c>
      <c r="K305" t="n">
        <v>7.9</v>
      </c>
      <c r="L305" t="n">
        <v>39.5</v>
      </c>
    </row>
    <row r="306">
      <c r="A306" t="inlineStr">
        <is>
          <t>2026-05</t>
        </is>
      </c>
      <c r="B306" t="inlineStr">
        <is>
          <t>2026-05-25</t>
        </is>
      </c>
      <c r="C306" t="inlineStr">
        <is>
          <t>PC-CC001-0178</t>
        </is>
      </c>
      <c r="D306" t="inlineStr">
        <is>
          <t>PJ</t>
        </is>
      </c>
      <c r="E306" t="inlineStr">
        <is>
          <t>Ad-hoc Purchase</t>
        </is>
      </c>
      <c r="F306" t="inlineStr">
        <is>
          <t>Telur Omega</t>
        </is>
      </c>
      <c r="G306" t="inlineStr">
        <is>
          <t>10pcs Pack</t>
        </is>
      </c>
      <c r="H306" s="4" t="n">
        <v>9</v>
      </c>
      <c r="I306" s="4" t="n">
        <v>10</v>
      </c>
      <c r="J306">
        <f>H306*I306</f>
        <v/>
      </c>
      <c r="K306" t="n">
        <v>6.5</v>
      </c>
      <c r="L306" t="n">
        <v>58.5</v>
      </c>
    </row>
    <row r="307">
      <c r="A307" t="inlineStr">
        <is>
          <t>2026-05</t>
        </is>
      </c>
      <c r="B307" t="inlineStr">
        <is>
          <t>2026-05-31</t>
        </is>
      </c>
      <c r="C307" t="inlineStr">
        <is>
          <t>CC-CC002-0151</t>
        </is>
      </c>
      <c r="D307" t="inlineStr">
        <is>
          <t>SA</t>
        </is>
      </c>
      <c r="E307" t="inlineStr">
        <is>
          <t>Yow Seng Sdn Bhd</t>
        </is>
      </c>
      <c r="F307" t="inlineStr">
        <is>
          <t>Telur Omega</t>
        </is>
      </c>
      <c r="G307" t="inlineStr">
        <is>
          <t>10pcs Pack</t>
        </is>
      </c>
      <c r="H307" s="4" t="n">
        <v>30</v>
      </c>
      <c r="I307" s="4" t="n">
        <v>10</v>
      </c>
      <c r="J307">
        <f>H307*I307</f>
        <v/>
      </c>
      <c r="K307" t="n">
        <v>7.5</v>
      </c>
      <c r="L307" t="n">
        <v>225</v>
      </c>
    </row>
    <row r="308">
      <c r="A308" t="inlineStr">
        <is>
          <t>2026-05</t>
        </is>
      </c>
      <c r="B308" t="inlineStr">
        <is>
          <t>2026-05-31</t>
        </is>
      </c>
      <c r="C308" t="inlineStr">
        <is>
          <t>CC-CC003-0109</t>
        </is>
      </c>
      <c r="D308" t="inlineStr">
        <is>
          <t>TAM</t>
        </is>
      </c>
      <c r="E308" t="inlineStr">
        <is>
          <t>Yow Seng Sdn Bhd</t>
        </is>
      </c>
      <c r="F308" t="inlineStr">
        <is>
          <t>Telur Omega</t>
        </is>
      </c>
      <c r="G308" t="inlineStr">
        <is>
          <t>10pcs Pack</t>
        </is>
      </c>
      <c r="H308" s="4" t="n">
        <v>30</v>
      </c>
      <c r="I308" s="4" t="n">
        <v>10</v>
      </c>
      <c r="J308">
        <f>H308*I308</f>
        <v/>
      </c>
      <c r="K308" t="n">
        <v>7.5</v>
      </c>
      <c r="L308" t="n">
        <v>225</v>
      </c>
    </row>
    <row r="309">
      <c r="A309" t="inlineStr">
        <is>
          <t>2026-05</t>
        </is>
      </c>
      <c r="B309" t="inlineStr">
        <is>
          <t>2026-05-31</t>
        </is>
      </c>
      <c r="C309" t="inlineStr">
        <is>
          <t>CC-CC001-0159</t>
        </is>
      </c>
      <c r="D309" t="inlineStr">
        <is>
          <t>PJ</t>
        </is>
      </c>
      <c r="E309" t="inlineStr">
        <is>
          <t>Yow Seng Sdn Bhd</t>
        </is>
      </c>
      <c r="F309" t="inlineStr">
        <is>
          <t>Telur Omega</t>
        </is>
      </c>
      <c r="G309" t="inlineStr">
        <is>
          <t>10pcs Pack</t>
        </is>
      </c>
      <c r="H309" s="4" t="n">
        <v>30</v>
      </c>
      <c r="I309" s="4" t="n">
        <v>10</v>
      </c>
      <c r="J309">
        <f>H309*I309</f>
        <v/>
      </c>
      <c r="K309" t="n">
        <v>7.5</v>
      </c>
      <c r="L309" t="n">
        <v>225</v>
      </c>
    </row>
    <row r="310">
      <c r="A310" t="inlineStr">
        <is>
          <t>2026-06</t>
        </is>
      </c>
      <c r="B310" t="inlineStr">
        <is>
          <t>2026-06-01</t>
        </is>
      </c>
      <c r="C310" t="inlineStr">
        <is>
          <t>CC-CC001-0171</t>
        </is>
      </c>
      <c r="D310" t="inlineStr">
        <is>
          <t>PJ</t>
        </is>
      </c>
      <c r="E310" t="inlineStr">
        <is>
          <t>Yow Seng Sdn Bhd</t>
        </is>
      </c>
      <c r="F310" t="inlineStr">
        <is>
          <t>Telur Omega</t>
        </is>
      </c>
      <c r="G310" t="inlineStr">
        <is>
          <t>10pcs Pack</t>
        </is>
      </c>
      <c r="H310" s="4" t="n">
        <v>15</v>
      </c>
      <c r="I310" s="4" t="n">
        <v>10</v>
      </c>
      <c r="J310">
        <f>H310*I310</f>
        <v/>
      </c>
      <c r="K310" t="n">
        <v>7.5</v>
      </c>
      <c r="L310" t="n">
        <v>112.5</v>
      </c>
    </row>
    <row r="311">
      <c r="A311" t="inlineStr">
        <is>
          <t>2026-06</t>
        </is>
      </c>
      <c r="B311" t="inlineStr">
        <is>
          <t>2026-06-01</t>
        </is>
      </c>
      <c r="C311" t="inlineStr">
        <is>
          <t>CC-CC003-0115</t>
        </is>
      </c>
      <c r="D311" t="inlineStr">
        <is>
          <t>TAM</t>
        </is>
      </c>
      <c r="E311" t="inlineStr">
        <is>
          <t>Yow Seng Sdn Bhd</t>
        </is>
      </c>
      <c r="F311" t="inlineStr">
        <is>
          <t>Telur Omega</t>
        </is>
      </c>
      <c r="G311" t="inlineStr">
        <is>
          <t>10pcs Pack</t>
        </is>
      </c>
      <c r="H311" s="4" t="n">
        <v>15</v>
      </c>
      <c r="I311" s="4" t="n">
        <v>10</v>
      </c>
      <c r="J311">
        <f>H311*I311</f>
        <v/>
      </c>
      <c r="K311" t="n">
        <v>7.5</v>
      </c>
      <c r="L311" t="n">
        <v>112.5</v>
      </c>
    </row>
    <row r="312">
      <c r="A312" t="inlineStr">
        <is>
          <t>2026-06</t>
        </is>
      </c>
      <c r="B312" t="inlineStr">
        <is>
          <t>2026-06-01</t>
        </is>
      </c>
      <c r="C312" t="inlineStr">
        <is>
          <t>CC-CC002-0162</t>
        </is>
      </c>
      <c r="D312" t="inlineStr">
        <is>
          <t>SA</t>
        </is>
      </c>
      <c r="E312" t="inlineStr">
        <is>
          <t>Yow Seng Sdn Bhd</t>
        </is>
      </c>
      <c r="F312" t="inlineStr">
        <is>
          <t>Telur Omega</t>
        </is>
      </c>
      <c r="G312" t="inlineStr">
        <is>
          <t>10pcs Pack</t>
        </is>
      </c>
      <c r="H312" s="4" t="n">
        <v>15</v>
      </c>
      <c r="I312" s="4" t="n">
        <v>10</v>
      </c>
      <c r="J312">
        <f>H312*I312</f>
        <v/>
      </c>
      <c r="K312" t="n">
        <v>7.5</v>
      </c>
      <c r="L312" t="n">
        <v>112.5</v>
      </c>
    </row>
    <row r="313">
      <c r="A313" t="inlineStr">
        <is>
          <t>2026-06</t>
        </is>
      </c>
      <c r="B313" t="inlineStr">
        <is>
          <t>2026-06-04</t>
        </is>
      </c>
      <c r="C313" t="inlineStr">
        <is>
          <t>CC-CC002-0172</t>
        </is>
      </c>
      <c r="D313" t="inlineStr">
        <is>
          <t>SA</t>
        </is>
      </c>
      <c r="E313" t="inlineStr">
        <is>
          <t>Yow Seng Sdn Bhd</t>
        </is>
      </c>
      <c r="F313" t="inlineStr">
        <is>
          <t>Telur Omega</t>
        </is>
      </c>
      <c r="G313" t="inlineStr">
        <is>
          <t>10pcs Pack</t>
        </is>
      </c>
      <c r="H313" s="4" t="n">
        <v>15</v>
      </c>
      <c r="I313" s="4" t="n">
        <v>10</v>
      </c>
      <c r="J313">
        <f>H313*I313</f>
        <v/>
      </c>
      <c r="K313" t="n">
        <v>7.5</v>
      </c>
      <c r="L313" t="n">
        <v>112.5</v>
      </c>
    </row>
    <row r="314">
      <c r="A314" t="inlineStr">
        <is>
          <t>2026-06</t>
        </is>
      </c>
      <c r="B314" t="inlineStr">
        <is>
          <t>2026-06-04</t>
        </is>
      </c>
      <c r="C314" t="inlineStr">
        <is>
          <t>CC-CC001-0182</t>
        </is>
      </c>
      <c r="D314" t="inlineStr">
        <is>
          <t>PJ</t>
        </is>
      </c>
      <c r="E314" t="inlineStr">
        <is>
          <t>Yow Seng Sdn Bhd</t>
        </is>
      </c>
      <c r="F314" t="inlineStr">
        <is>
          <t>Telur Omega</t>
        </is>
      </c>
      <c r="G314" t="inlineStr">
        <is>
          <t>10pcs Pack</t>
        </is>
      </c>
      <c r="H314" s="4" t="n">
        <v>30</v>
      </c>
      <c r="I314" s="4" t="n">
        <v>10</v>
      </c>
      <c r="J314">
        <f>H314*I314</f>
        <v/>
      </c>
      <c r="K314" t="n">
        <v>7</v>
      </c>
      <c r="L314" t="n">
        <v>210</v>
      </c>
    </row>
    <row r="315">
      <c r="A315" t="inlineStr">
        <is>
          <t>2026-06</t>
        </is>
      </c>
      <c r="B315" t="inlineStr">
        <is>
          <t>2026-06-04</t>
        </is>
      </c>
      <c r="C315" t="inlineStr">
        <is>
          <t>CC-CC003-0125</t>
        </is>
      </c>
      <c r="D315" t="inlineStr">
        <is>
          <t>TAM</t>
        </is>
      </c>
      <c r="E315" t="inlineStr">
        <is>
          <t>Yow Seng Sdn Bhd</t>
        </is>
      </c>
      <c r="F315" t="inlineStr">
        <is>
          <t>Telur Omega</t>
        </is>
      </c>
      <c r="G315" t="inlineStr">
        <is>
          <t>10pcs Pack</t>
        </is>
      </c>
      <c r="H315" s="4" t="n">
        <v>15</v>
      </c>
      <c r="I315" s="4" t="n">
        <v>10</v>
      </c>
      <c r="J315">
        <f>H315*I315</f>
        <v/>
      </c>
      <c r="K315" t="n">
        <v>7</v>
      </c>
      <c r="L315" t="n">
        <v>105</v>
      </c>
    </row>
    <row r="316">
      <c r="A316" t="inlineStr">
        <is>
          <t>2026-06</t>
        </is>
      </c>
      <c r="B316" t="inlineStr">
        <is>
          <t>2026-06-10</t>
        </is>
      </c>
      <c r="C316" t="inlineStr">
        <is>
          <t>CC-CC001-0198</t>
        </is>
      </c>
      <c r="D316" t="inlineStr">
        <is>
          <t>PJ</t>
        </is>
      </c>
      <c r="E316" t="inlineStr">
        <is>
          <t>Yow Seng Sdn Bhd</t>
        </is>
      </c>
      <c r="F316" t="inlineStr">
        <is>
          <t>Telur Omega</t>
        </is>
      </c>
      <c r="G316" t="inlineStr">
        <is>
          <t>10pcs Pack</t>
        </is>
      </c>
      <c r="H316" s="4" t="n">
        <v>15</v>
      </c>
      <c r="I316" s="4" t="n">
        <v>10</v>
      </c>
      <c r="J316">
        <f>H316*I316</f>
        <v/>
      </c>
      <c r="K316" t="n">
        <v>7.5</v>
      </c>
      <c r="L316" t="n">
        <v>112.5</v>
      </c>
    </row>
    <row r="317">
      <c r="A317" t="inlineStr">
        <is>
          <t>2026-06</t>
        </is>
      </c>
      <c r="B317" t="inlineStr">
        <is>
          <t>2026-06-11</t>
        </is>
      </c>
      <c r="C317" t="inlineStr">
        <is>
          <t>CC-CC001-0201</t>
        </is>
      </c>
      <c r="D317" t="inlineStr">
        <is>
          <t>PJ</t>
        </is>
      </c>
      <c r="E317" t="inlineStr">
        <is>
          <t>Yow Seng Sdn Bhd</t>
        </is>
      </c>
      <c r="F317" t="inlineStr">
        <is>
          <t>Telur Omega</t>
        </is>
      </c>
      <c r="G317" t="inlineStr">
        <is>
          <t>10pcs Pack</t>
        </is>
      </c>
      <c r="H317" s="4" t="n">
        <v>30</v>
      </c>
      <c r="I317" s="4" t="n">
        <v>10</v>
      </c>
      <c r="J317">
        <f>H317*I317</f>
        <v/>
      </c>
      <c r="K317" t="n">
        <v>7.5</v>
      </c>
      <c r="L317" t="n">
        <v>225</v>
      </c>
    </row>
    <row r="318">
      <c r="A318" t="inlineStr">
        <is>
          <t>2026-06</t>
        </is>
      </c>
      <c r="B318" t="inlineStr">
        <is>
          <t>2026-06-11</t>
        </is>
      </c>
      <c r="C318" t="inlineStr">
        <is>
          <t>CC-CC002-0187</t>
        </is>
      </c>
      <c r="D318" t="inlineStr">
        <is>
          <t>SA</t>
        </is>
      </c>
      <c r="E318" t="inlineStr">
        <is>
          <t>Yow Seng Sdn Bhd</t>
        </is>
      </c>
      <c r="F318" t="inlineStr">
        <is>
          <t>Telur Omega</t>
        </is>
      </c>
      <c r="G318" t="inlineStr">
        <is>
          <t>10pcs Pack</t>
        </is>
      </c>
      <c r="H318" s="4" t="n">
        <v>15</v>
      </c>
      <c r="I318" s="4" t="n">
        <v>10</v>
      </c>
      <c r="J318">
        <f>H318*I318</f>
        <v/>
      </c>
      <c r="K318" t="n">
        <v>7.5</v>
      </c>
      <c r="L318" t="n">
        <v>112.5</v>
      </c>
    </row>
    <row r="319">
      <c r="A319" t="inlineStr">
        <is>
          <t>2026-06</t>
        </is>
      </c>
      <c r="B319" t="inlineStr">
        <is>
          <t>2026-06-11</t>
        </is>
      </c>
      <c r="C319" t="inlineStr">
        <is>
          <t>CC-CC003-0133</t>
        </is>
      </c>
      <c r="D319" t="inlineStr">
        <is>
          <t>TAM</t>
        </is>
      </c>
      <c r="E319" t="inlineStr">
        <is>
          <t>Yow Seng Sdn Bhd</t>
        </is>
      </c>
      <c r="F319" t="inlineStr">
        <is>
          <t>Telur Omega</t>
        </is>
      </c>
      <c r="G319" t="inlineStr">
        <is>
          <t>10pcs Pack</t>
        </is>
      </c>
      <c r="H319" s="4" t="n">
        <v>15</v>
      </c>
      <c r="I319" s="4" t="n">
        <v>10</v>
      </c>
      <c r="J319">
        <f>H319*I319</f>
        <v/>
      </c>
      <c r="K319" t="n">
        <v>7.5</v>
      </c>
      <c r="L319" t="n">
        <v>112.5</v>
      </c>
    </row>
    <row r="320">
      <c r="A320" t="inlineStr">
        <is>
          <t>2026-06</t>
        </is>
      </c>
      <c r="B320" t="inlineStr">
        <is>
          <t>2026-06-11</t>
        </is>
      </c>
      <c r="C320" t="inlineStr">
        <is>
          <t>PC-CC002-0104</t>
        </is>
      </c>
      <c r="D320" t="inlineStr">
        <is>
          <t>SA</t>
        </is>
      </c>
      <c r="E320" t="inlineStr">
        <is>
          <t>Ad-hoc Purchase</t>
        </is>
      </c>
      <c r="F320" t="inlineStr">
        <is>
          <t>Telur Omega</t>
        </is>
      </c>
      <c r="G320" t="inlineStr">
        <is>
          <t>10pcs Pack</t>
        </is>
      </c>
      <c r="H320" s="4" t="n">
        <v>4</v>
      </c>
      <c r="I320" s="4" t="n">
        <v>10</v>
      </c>
      <c r="J320">
        <f>H320*I320</f>
        <v/>
      </c>
      <c r="K320" t="n">
        <v>6.35</v>
      </c>
      <c r="L320" t="n">
        <v>25.4</v>
      </c>
    </row>
    <row r="321">
      <c r="A321" t="inlineStr">
        <is>
          <t>2026-06</t>
        </is>
      </c>
      <c r="B321" t="inlineStr">
        <is>
          <t>2026-06-11</t>
        </is>
      </c>
      <c r="C321" t="inlineStr">
        <is>
          <t>PC-CC001-0213</t>
        </is>
      </c>
      <c r="D321" t="inlineStr">
        <is>
          <t>PJ</t>
        </is>
      </c>
      <c r="E321" t="inlineStr">
        <is>
          <t>Ad-hoc Purchase</t>
        </is>
      </c>
      <c r="F321" t="inlineStr">
        <is>
          <t>Telur Omega</t>
        </is>
      </c>
      <c r="G321" t="inlineStr">
        <is>
          <t>10pcs Pack</t>
        </is>
      </c>
      <c r="H321" s="4" t="n">
        <v>3</v>
      </c>
      <c r="I321" s="4" t="n">
        <v>10</v>
      </c>
      <c r="J321">
        <f>H321*I321</f>
        <v/>
      </c>
      <c r="K321" t="n">
        <v>6.9</v>
      </c>
      <c r="L321" t="n">
        <v>20.7</v>
      </c>
    </row>
    <row r="322">
      <c r="A322" t="inlineStr">
        <is>
          <t>2026-06</t>
        </is>
      </c>
      <c r="B322" t="inlineStr">
        <is>
          <t>2026-06-11</t>
        </is>
      </c>
      <c r="C322" t="inlineStr">
        <is>
          <t>PC-CC002-0106</t>
        </is>
      </c>
      <c r="D322" t="inlineStr">
        <is>
          <t>SA</t>
        </is>
      </c>
      <c r="E322" t="inlineStr">
        <is>
          <t>Ad-hoc Purchase</t>
        </is>
      </c>
      <c r="F322" t="inlineStr">
        <is>
          <t>Telur Omega</t>
        </is>
      </c>
      <c r="G322" t="inlineStr">
        <is>
          <t>10pcs Pack</t>
        </is>
      </c>
      <c r="H322" s="4" t="n">
        <v>3</v>
      </c>
      <c r="I322" s="4" t="n">
        <v>10</v>
      </c>
      <c r="J322">
        <f>H322*I322</f>
        <v/>
      </c>
      <c r="K322" t="n">
        <v>4.3</v>
      </c>
      <c r="L322" t="n">
        <v>12.9</v>
      </c>
    </row>
    <row r="323">
      <c r="A323" t="inlineStr">
        <is>
          <t>2026-06</t>
        </is>
      </c>
      <c r="B323" t="inlineStr">
        <is>
          <t>2026-06-16</t>
        </is>
      </c>
      <c r="C323" t="inlineStr">
        <is>
          <t>CC-CC001-0209</t>
        </is>
      </c>
      <c r="D323" t="inlineStr">
        <is>
          <t>PJ</t>
        </is>
      </c>
      <c r="E323" t="inlineStr">
        <is>
          <t>Yow Seng Sdn Bhd</t>
        </is>
      </c>
      <c r="F323" t="inlineStr">
        <is>
          <t>Telur Omega</t>
        </is>
      </c>
      <c r="G323" t="inlineStr">
        <is>
          <t>10pcs Pack</t>
        </is>
      </c>
      <c r="H323" s="4" t="n">
        <v>15</v>
      </c>
      <c r="I323" s="4" t="n">
        <v>10</v>
      </c>
      <c r="J323">
        <f>H323*I323</f>
        <v/>
      </c>
      <c r="K323" t="n">
        <v>7.5</v>
      </c>
      <c r="L323" t="n">
        <v>112.5</v>
      </c>
    </row>
    <row r="324">
      <c r="A324" t="inlineStr">
        <is>
          <t>2026-06</t>
        </is>
      </c>
      <c r="B324" t="inlineStr">
        <is>
          <t>2026-06-21</t>
        </is>
      </c>
      <c r="C324" t="inlineStr">
        <is>
          <t>CC-CC002-0217</t>
        </is>
      </c>
      <c r="D324" t="inlineStr">
        <is>
          <t>SA</t>
        </is>
      </c>
      <c r="E324" t="inlineStr">
        <is>
          <t>Yow Seng Sdn Bhd</t>
        </is>
      </c>
      <c r="F324" t="inlineStr">
        <is>
          <t>Telur Omega</t>
        </is>
      </c>
      <c r="G324" t="inlineStr">
        <is>
          <t>10pcs Pack</t>
        </is>
      </c>
      <c r="H324" s="4" t="n">
        <v>30</v>
      </c>
      <c r="I324" s="4" t="n">
        <v>10</v>
      </c>
      <c r="J324">
        <f>H324*I324</f>
        <v/>
      </c>
      <c r="K324" t="n">
        <v>7.5</v>
      </c>
      <c r="L324" t="n">
        <v>225</v>
      </c>
    </row>
    <row r="325">
      <c r="A325" t="inlineStr">
        <is>
          <t>2026-06</t>
        </is>
      </c>
      <c r="B325" t="inlineStr">
        <is>
          <t>2026-06-21</t>
        </is>
      </c>
      <c r="C325" t="inlineStr">
        <is>
          <t>CC-CC003-0148</t>
        </is>
      </c>
      <c r="D325" t="inlineStr">
        <is>
          <t>TAM</t>
        </is>
      </c>
      <c r="E325" t="inlineStr">
        <is>
          <t>Yow Seng Sdn Bhd</t>
        </is>
      </c>
      <c r="F325" t="inlineStr">
        <is>
          <t>Telur Omega</t>
        </is>
      </c>
      <c r="G325" t="inlineStr">
        <is>
          <t>10pcs Pack</t>
        </is>
      </c>
      <c r="H325" s="4" t="n">
        <v>30</v>
      </c>
      <c r="I325" s="4" t="n">
        <v>10</v>
      </c>
      <c r="J325">
        <f>H325*I325</f>
        <v/>
      </c>
      <c r="K325" t="n">
        <v>7</v>
      </c>
      <c r="L325" t="n">
        <v>210</v>
      </c>
    </row>
    <row r="326">
      <c r="A326" t="inlineStr">
        <is>
          <t>2026-06</t>
        </is>
      </c>
      <c r="B326" t="inlineStr">
        <is>
          <t>2026-06-21</t>
        </is>
      </c>
      <c r="C326" t="inlineStr">
        <is>
          <t>CC-CC001-0228</t>
        </is>
      </c>
      <c r="D326" t="inlineStr">
        <is>
          <t>PJ</t>
        </is>
      </c>
      <c r="E326" t="inlineStr">
        <is>
          <t>Yow Seng Sdn Bhd</t>
        </is>
      </c>
      <c r="F326" t="inlineStr">
        <is>
          <t>Telur Omega</t>
        </is>
      </c>
      <c r="G326" t="inlineStr">
        <is>
          <t>10pcs Pack</t>
        </is>
      </c>
      <c r="H326" s="4" t="n">
        <v>30</v>
      </c>
      <c r="I326" s="4" t="n">
        <v>10</v>
      </c>
      <c r="J326">
        <f>H326*I326</f>
        <v/>
      </c>
      <c r="K326" t="n">
        <v>7</v>
      </c>
      <c r="L326" t="n">
        <v>210</v>
      </c>
    </row>
    <row r="327">
      <c r="A327" t="inlineStr">
        <is>
          <t>2026-06</t>
        </is>
      </c>
      <c r="B327" t="inlineStr">
        <is>
          <t>2026-06-21</t>
        </is>
      </c>
      <c r="C327" t="inlineStr">
        <is>
          <t>PC-CC001-0232</t>
        </is>
      </c>
      <c r="D327" t="inlineStr">
        <is>
          <t>PJ</t>
        </is>
      </c>
      <c r="E327" t="inlineStr">
        <is>
          <t>Ad-hoc Purchase</t>
        </is>
      </c>
      <c r="F327" t="inlineStr">
        <is>
          <t>Telur Omega</t>
        </is>
      </c>
      <c r="G327" t="inlineStr">
        <is>
          <t>10pcs Pack</t>
        </is>
      </c>
      <c r="H327" s="4" t="n">
        <v>5</v>
      </c>
      <c r="I327" s="4" t="n">
        <v>10</v>
      </c>
      <c r="J327">
        <f>H327*I327</f>
        <v/>
      </c>
      <c r="K327" t="n">
        <v>8.460000000000001</v>
      </c>
      <c r="L327" t="n">
        <v>42.3</v>
      </c>
    </row>
    <row r="328">
      <c r="A328" t="inlineStr">
        <is>
          <t>2026-06</t>
        </is>
      </c>
      <c r="B328" t="inlineStr">
        <is>
          <t>2026-06-21</t>
        </is>
      </c>
      <c r="C328" t="inlineStr">
        <is>
          <t>PC-CC001-0235</t>
        </is>
      </c>
      <c r="D328" t="inlineStr">
        <is>
          <t>PJ</t>
        </is>
      </c>
      <c r="E328" t="inlineStr">
        <is>
          <t>Ad-hoc Purchase</t>
        </is>
      </c>
      <c r="F328" t="inlineStr">
        <is>
          <t>Telur Omega</t>
        </is>
      </c>
      <c r="G328" t="inlineStr">
        <is>
          <t>10pcs Pack</t>
        </is>
      </c>
      <c r="H328" s="4" t="n">
        <v>2</v>
      </c>
      <c r="I328" s="4" t="n">
        <v>10</v>
      </c>
      <c r="J328">
        <f>H328*I328</f>
        <v/>
      </c>
      <c r="K328" t="n">
        <v>9.15</v>
      </c>
      <c r="L328" t="n">
        <v>18.3</v>
      </c>
    </row>
    <row r="329">
      <c r="A329" t="inlineStr">
        <is>
          <t>2026-06</t>
        </is>
      </c>
      <c r="B329" t="inlineStr">
        <is>
          <t>2026-06-24</t>
        </is>
      </c>
      <c r="C329" t="inlineStr">
        <is>
          <t>CC-CC001-0235</t>
        </is>
      </c>
      <c r="D329" t="inlineStr">
        <is>
          <t>PJ</t>
        </is>
      </c>
      <c r="E329" t="inlineStr">
        <is>
          <t>Yow Seng Sdn Bhd</t>
        </is>
      </c>
      <c r="F329" t="inlineStr">
        <is>
          <t>Telur Omega</t>
        </is>
      </c>
      <c r="G329" t="inlineStr">
        <is>
          <t>10pcs Pack</t>
        </is>
      </c>
      <c r="H329" s="4" t="n">
        <v>30</v>
      </c>
      <c r="I329" s="4" t="n">
        <v>10</v>
      </c>
      <c r="J329">
        <f>H329*I329</f>
        <v/>
      </c>
      <c r="K329" t="n">
        <v>9.77</v>
      </c>
      <c r="L329" t="n">
        <v>293</v>
      </c>
    </row>
    <row r="330">
      <c r="A330" t="inlineStr">
        <is>
          <t>2026-06</t>
        </is>
      </c>
      <c r="B330" t="inlineStr">
        <is>
          <t>2026-06-24</t>
        </is>
      </c>
      <c r="C330" t="inlineStr">
        <is>
          <t>CC-CC002-0225</t>
        </is>
      </c>
      <c r="D330" t="inlineStr">
        <is>
          <t>SA</t>
        </is>
      </c>
      <c r="E330" t="inlineStr">
        <is>
          <t>Yow Seng Sdn Bhd</t>
        </is>
      </c>
      <c r="F330" t="inlineStr">
        <is>
          <t>Telur Omega</t>
        </is>
      </c>
      <c r="G330" t="inlineStr">
        <is>
          <t>10pcs Pack</t>
        </is>
      </c>
      <c r="H330" s="4" t="n">
        <v>15</v>
      </c>
      <c r="I330" s="4" t="n">
        <v>10</v>
      </c>
      <c r="J330">
        <f>H330*I330</f>
        <v/>
      </c>
      <c r="K330" t="n">
        <v>7.5</v>
      </c>
      <c r="L330" t="n">
        <v>112.5</v>
      </c>
    </row>
    <row r="331">
      <c r="A331" t="inlineStr">
        <is>
          <t>2026-06</t>
        </is>
      </c>
      <c r="B331" t="inlineStr">
        <is>
          <t>2026-06-24</t>
        </is>
      </c>
      <c r="C331" t="inlineStr">
        <is>
          <t>CC-CC003-0154</t>
        </is>
      </c>
      <c r="D331" t="inlineStr">
        <is>
          <t>TAM</t>
        </is>
      </c>
      <c r="E331" t="inlineStr">
        <is>
          <t>Yow Seng Sdn Bhd</t>
        </is>
      </c>
      <c r="F331" t="inlineStr">
        <is>
          <t>Telur Omega</t>
        </is>
      </c>
      <c r="G331" t="inlineStr">
        <is>
          <t>10pcs Pack</t>
        </is>
      </c>
      <c r="H331" s="4" t="n">
        <v>15</v>
      </c>
      <c r="I331" s="4" t="n">
        <v>10</v>
      </c>
      <c r="J331">
        <f>H331*I331</f>
        <v/>
      </c>
      <c r="K331" t="n">
        <v>7.5</v>
      </c>
      <c r="L331" t="n">
        <v>112.5</v>
      </c>
    </row>
    <row r="332">
      <c r="A332" t="inlineStr">
        <is>
          <t>2026-06</t>
        </is>
      </c>
      <c r="B332" t="inlineStr">
        <is>
          <t>2026-06-28</t>
        </is>
      </c>
      <c r="C332" t="inlineStr">
        <is>
          <t>PC-CC001-0280</t>
        </is>
      </c>
      <c r="D332" t="inlineStr">
        <is>
          <t>PJ</t>
        </is>
      </c>
      <c r="E332" t="inlineStr">
        <is>
          <t>Ad-hoc Purchase</t>
        </is>
      </c>
      <c r="F332" t="inlineStr">
        <is>
          <t>Telur Omega</t>
        </is>
      </c>
      <c r="G332" t="inlineStr">
        <is>
          <t>10pcs Pack</t>
        </is>
      </c>
      <c r="H332" s="4" t="n">
        <v>6</v>
      </c>
      <c r="I332" s="4" t="n">
        <v>10</v>
      </c>
      <c r="J332">
        <f>H332*I332</f>
        <v/>
      </c>
      <c r="K332" t="n">
        <v>12</v>
      </c>
      <c r="L332" t="n">
        <v>72</v>
      </c>
    </row>
    <row r="333">
      <c r="A333" t="inlineStr">
        <is>
          <t>2026-06</t>
        </is>
      </c>
      <c r="B333" t="inlineStr">
        <is>
          <t>2026-06-30</t>
        </is>
      </c>
      <c r="C333" t="inlineStr">
        <is>
          <t>CC-CC001-0249</t>
        </is>
      </c>
      <c r="D333" t="inlineStr">
        <is>
          <t>PJ</t>
        </is>
      </c>
      <c r="E333" t="inlineStr">
        <is>
          <t>Yow Seng Sdn Bhd</t>
        </is>
      </c>
      <c r="F333" t="inlineStr">
        <is>
          <t>Telur Omega</t>
        </is>
      </c>
      <c r="G333" t="inlineStr">
        <is>
          <t>10pcs Pack</t>
        </is>
      </c>
      <c r="H333" s="4" t="n">
        <v>15</v>
      </c>
      <c r="I333" s="4" t="n">
        <v>10</v>
      </c>
      <c r="J333">
        <f>H333*I333</f>
        <v/>
      </c>
      <c r="K333" t="n">
        <v>7.5</v>
      </c>
      <c r="L333" t="n">
        <v>112.5</v>
      </c>
    </row>
    <row r="334">
      <c r="A334" t="inlineStr">
        <is>
          <t>2026-07</t>
        </is>
      </c>
      <c r="B334" t="inlineStr">
        <is>
          <t>2026-07-02</t>
        </is>
      </c>
      <c r="C334" t="inlineStr">
        <is>
          <t>CC-CC001-0258</t>
        </is>
      </c>
      <c r="D334" t="inlineStr">
        <is>
          <t>PJ</t>
        </is>
      </c>
      <c r="E334" t="inlineStr">
        <is>
          <t>Yow Seng Sdn Bhd</t>
        </is>
      </c>
      <c r="F334" t="inlineStr">
        <is>
          <t>Telur Omega</t>
        </is>
      </c>
      <c r="G334" t="inlineStr">
        <is>
          <t>10pcs Pack</t>
        </is>
      </c>
      <c r="H334" s="4" t="n">
        <v>30</v>
      </c>
      <c r="I334" s="4" t="n">
        <v>10</v>
      </c>
      <c r="J334">
        <f>H334*I334</f>
        <v/>
      </c>
      <c r="K334" t="n">
        <v>7</v>
      </c>
      <c r="L334" t="n">
        <v>210</v>
      </c>
    </row>
    <row r="335">
      <c r="A335" t="inlineStr">
        <is>
          <t>2026-07</t>
        </is>
      </c>
      <c r="B335" t="inlineStr">
        <is>
          <t>2026-07-02</t>
        </is>
      </c>
      <c r="C335" t="inlineStr">
        <is>
          <t>CC-CC001-0259</t>
        </is>
      </c>
      <c r="D335" t="inlineStr">
        <is>
          <t>PJ</t>
        </is>
      </c>
      <c r="E335" t="inlineStr">
        <is>
          <t>Yow Seng Sdn Bhd</t>
        </is>
      </c>
      <c r="F335" t="inlineStr">
        <is>
          <t>Telur Omega</t>
        </is>
      </c>
      <c r="G335" t="inlineStr">
        <is>
          <t>10pcs Pack</t>
        </is>
      </c>
      <c r="H335" s="4" t="n">
        <v>30</v>
      </c>
      <c r="I335" s="4" t="n">
        <v>10</v>
      </c>
      <c r="J335">
        <f>H335*I335</f>
        <v/>
      </c>
      <c r="K335" t="n">
        <v>7.5</v>
      </c>
      <c r="L335" t="n">
        <v>225</v>
      </c>
    </row>
    <row r="336">
      <c r="A336" t="inlineStr">
        <is>
          <t>2026-07</t>
        </is>
      </c>
      <c r="B336" t="inlineStr">
        <is>
          <t>2026-07-02</t>
        </is>
      </c>
      <c r="C336" t="inlineStr">
        <is>
          <t>CC-CC002-0247</t>
        </is>
      </c>
      <c r="D336" t="inlineStr">
        <is>
          <t>SA</t>
        </is>
      </c>
      <c r="E336" t="inlineStr">
        <is>
          <t>Yow Seng Sdn Bhd</t>
        </is>
      </c>
      <c r="F336" t="inlineStr">
        <is>
          <t>Telur Omega</t>
        </is>
      </c>
      <c r="G336" t="inlineStr">
        <is>
          <t>10pcs Pack</t>
        </is>
      </c>
      <c r="H336" s="4" t="n">
        <v>15</v>
      </c>
      <c r="I336" s="4" t="n">
        <v>10</v>
      </c>
      <c r="J336">
        <f>H336*I336</f>
        <v/>
      </c>
      <c r="K336" t="n">
        <v>7.5</v>
      </c>
      <c r="L336" t="n">
        <v>112.5</v>
      </c>
    </row>
    <row r="337">
      <c r="A337" t="inlineStr">
        <is>
          <t>2026-07</t>
        </is>
      </c>
      <c r="B337" t="inlineStr">
        <is>
          <t>2026-07-02</t>
        </is>
      </c>
      <c r="C337" t="inlineStr">
        <is>
          <t>CC-CC003-0172</t>
        </is>
      </c>
      <c r="D337" t="inlineStr">
        <is>
          <t>TAM</t>
        </is>
      </c>
      <c r="E337" t="inlineStr">
        <is>
          <t>Yow Seng Sdn Bhd</t>
        </is>
      </c>
      <c r="F337" t="inlineStr">
        <is>
          <t>Telur Omega</t>
        </is>
      </c>
      <c r="G337" t="inlineStr">
        <is>
          <t>10pcs Pack</t>
        </is>
      </c>
      <c r="H337" s="4" t="n">
        <v>15</v>
      </c>
      <c r="I337" s="4" t="n">
        <v>10</v>
      </c>
      <c r="J337">
        <f>H337*I337</f>
        <v/>
      </c>
      <c r="K337" t="n">
        <v>7.5</v>
      </c>
      <c r="L337" t="n">
        <v>112.5</v>
      </c>
    </row>
    <row r="338">
      <c r="A338" t="inlineStr">
        <is>
          <t>2026-07</t>
        </is>
      </c>
      <c r="B338" t="inlineStr">
        <is>
          <t>2026-07-07</t>
        </is>
      </c>
      <c r="C338" t="inlineStr">
        <is>
          <t>CC-CC001-0274</t>
        </is>
      </c>
      <c r="D338" t="inlineStr">
        <is>
          <t>PJ</t>
        </is>
      </c>
      <c r="E338" t="inlineStr">
        <is>
          <t>Yow Seng Sdn Bhd</t>
        </is>
      </c>
      <c r="F338" t="inlineStr">
        <is>
          <t>Telur Omega</t>
        </is>
      </c>
      <c r="G338" t="inlineStr">
        <is>
          <t>10pcs Pack</t>
        </is>
      </c>
      <c r="H338" s="4" t="n">
        <v>150</v>
      </c>
      <c r="I338" s="4" t="n">
        <v>10</v>
      </c>
      <c r="J338">
        <f>H338*I338</f>
        <v/>
      </c>
      <c r="K338" t="n">
        <v>7.5</v>
      </c>
      <c r="L338" t="n">
        <v>1125</v>
      </c>
    </row>
    <row r="339">
      <c r="A339" t="inlineStr">
        <is>
          <t>2026-07</t>
        </is>
      </c>
      <c r="B339" t="inlineStr">
        <is>
          <t>2026-07-09</t>
        </is>
      </c>
      <c r="C339" t="inlineStr">
        <is>
          <t>CC-CC001-0279</t>
        </is>
      </c>
      <c r="D339" t="inlineStr">
        <is>
          <t>PJ</t>
        </is>
      </c>
      <c r="E339" t="inlineStr">
        <is>
          <t>Yow Seng Sdn Bhd</t>
        </is>
      </c>
      <c r="F339" t="inlineStr">
        <is>
          <t>Telur Omega</t>
        </is>
      </c>
      <c r="G339" t="inlineStr">
        <is>
          <t>10pcs Pack</t>
        </is>
      </c>
      <c r="H339" s="4" t="n">
        <v>30</v>
      </c>
      <c r="I339" s="4" t="n">
        <v>10</v>
      </c>
      <c r="J339">
        <f>H339*I339</f>
        <v/>
      </c>
      <c r="K339" t="n">
        <v>7.5</v>
      </c>
      <c r="L339" t="n">
        <v>225</v>
      </c>
    </row>
    <row r="340">
      <c r="A340" t="inlineStr">
        <is>
          <t>2026-07</t>
        </is>
      </c>
      <c r="B340" t="inlineStr">
        <is>
          <t>2026-07-09</t>
        </is>
      </c>
      <c r="C340" t="inlineStr">
        <is>
          <t>CC-CC002-0265</t>
        </is>
      </c>
      <c r="D340" t="inlineStr">
        <is>
          <t>SA</t>
        </is>
      </c>
      <c r="E340" t="inlineStr">
        <is>
          <t>Yow Seng Sdn Bhd</t>
        </is>
      </c>
      <c r="F340" t="inlineStr">
        <is>
          <t>Telur Omega</t>
        </is>
      </c>
      <c r="G340" t="inlineStr">
        <is>
          <t>10pcs Pack</t>
        </is>
      </c>
      <c r="H340" s="4" t="n">
        <v>15</v>
      </c>
      <c r="I340" s="4" t="n">
        <v>10</v>
      </c>
      <c r="J340">
        <f>H340*I340</f>
        <v/>
      </c>
      <c r="K340" t="n">
        <v>7.5</v>
      </c>
      <c r="L340" t="n">
        <v>112.5</v>
      </c>
    </row>
    <row r="341">
      <c r="A341" t="inlineStr">
        <is>
          <t>2026-07</t>
        </is>
      </c>
      <c r="B341" t="inlineStr">
        <is>
          <t>2026-07-09</t>
        </is>
      </c>
      <c r="C341" t="inlineStr">
        <is>
          <t>CC-CC003-0183</t>
        </is>
      </c>
      <c r="D341" t="inlineStr">
        <is>
          <t>TAM</t>
        </is>
      </c>
      <c r="E341" t="inlineStr">
        <is>
          <t>Yow Seng Sdn Bhd</t>
        </is>
      </c>
      <c r="F341" t="inlineStr">
        <is>
          <t>Telur Omega</t>
        </is>
      </c>
      <c r="G341" t="inlineStr">
        <is>
          <t>10pcs Pack</t>
        </is>
      </c>
      <c r="H341" s="4" t="n">
        <v>15</v>
      </c>
      <c r="I341" s="4" t="n">
        <v>10</v>
      </c>
      <c r="J341">
        <f>H341*I341</f>
        <v/>
      </c>
      <c r="K341" t="n">
        <v>7.5</v>
      </c>
      <c r="L341" t="n">
        <v>112.5</v>
      </c>
    </row>
    <row r="342">
      <c r="A342" t="inlineStr">
        <is>
          <t>2026-07</t>
        </is>
      </c>
      <c r="B342" t="inlineStr">
        <is>
          <t>2026-07-12</t>
        </is>
      </c>
      <c r="C342" t="inlineStr">
        <is>
          <t>PC-CC002-0170</t>
        </is>
      </c>
      <c r="D342" t="inlineStr">
        <is>
          <t>SA</t>
        </is>
      </c>
      <c r="E342" t="inlineStr">
        <is>
          <t>Ad-hoc Purchase</t>
        </is>
      </c>
      <c r="F342" t="inlineStr">
        <is>
          <t>Telur Omega</t>
        </is>
      </c>
      <c r="G342" t="inlineStr">
        <is>
          <t>10pcs Pack</t>
        </is>
      </c>
      <c r="H342" s="4" t="n">
        <v>3</v>
      </c>
      <c r="I342" s="4" t="n">
        <v>10</v>
      </c>
      <c r="J342">
        <f>H342*I342</f>
        <v/>
      </c>
      <c r="K342" t="n">
        <v>25.9</v>
      </c>
      <c r="L342" t="n">
        <v>77.7</v>
      </c>
    </row>
    <row r="343">
      <c r="A343" t="inlineStr">
        <is>
          <t>2026-07</t>
        </is>
      </c>
      <c r="B343" t="inlineStr">
        <is>
          <t>2026-07-15</t>
        </is>
      </c>
      <c r="C343" t="inlineStr">
        <is>
          <t>CC-CC002-0274</t>
        </is>
      </c>
      <c r="D343" t="inlineStr">
        <is>
          <t>SA</t>
        </is>
      </c>
      <c r="E343" t="inlineStr">
        <is>
          <t>Yow Seng Sdn Bhd</t>
        </is>
      </c>
      <c r="F343" t="inlineStr">
        <is>
          <t>Telur Omega</t>
        </is>
      </c>
      <c r="G343" t="inlineStr">
        <is>
          <t>10pcs Pack</t>
        </is>
      </c>
      <c r="H343" s="4" t="n">
        <v>15</v>
      </c>
      <c r="I343" s="4" t="n">
        <v>10</v>
      </c>
      <c r="J343">
        <f>H343*I343</f>
        <v/>
      </c>
      <c r="K343" t="n">
        <v>7.5</v>
      </c>
      <c r="L343" t="n">
        <v>112.5</v>
      </c>
    </row>
    <row r="344">
      <c r="A344" t="inlineStr">
        <is>
          <t>2026-07</t>
        </is>
      </c>
      <c r="B344" t="inlineStr">
        <is>
          <t>2026-07-15</t>
        </is>
      </c>
      <c r="C344" t="inlineStr">
        <is>
          <t>CC-CC001-0293</t>
        </is>
      </c>
      <c r="D344" t="inlineStr">
        <is>
          <t>PJ</t>
        </is>
      </c>
      <c r="E344" t="inlineStr">
        <is>
          <t>Yow Seng Sdn Bhd</t>
        </is>
      </c>
      <c r="F344" t="inlineStr">
        <is>
          <t>Telur Omega</t>
        </is>
      </c>
      <c r="G344" t="inlineStr">
        <is>
          <t>10pcs Pack</t>
        </is>
      </c>
      <c r="H344" s="4" t="n">
        <v>30</v>
      </c>
      <c r="I344" s="4" t="n">
        <v>10</v>
      </c>
      <c r="J344">
        <f>H344*I344</f>
        <v/>
      </c>
      <c r="K344" t="n">
        <v>7.5</v>
      </c>
      <c r="L344" t="n">
        <v>225</v>
      </c>
    </row>
    <row r="345">
      <c r="A345" t="inlineStr">
        <is>
          <t>2026-07</t>
        </is>
      </c>
      <c r="B345" t="inlineStr">
        <is>
          <t>2026-07-15</t>
        </is>
      </c>
      <c r="C345" t="inlineStr">
        <is>
          <t>CC-CC003-0192</t>
        </is>
      </c>
      <c r="D345" t="inlineStr">
        <is>
          <t>TAM</t>
        </is>
      </c>
      <c r="E345" t="inlineStr">
        <is>
          <t>Yow Seng Sdn Bhd</t>
        </is>
      </c>
      <c r="F345" t="inlineStr">
        <is>
          <t>Telur Omega</t>
        </is>
      </c>
      <c r="G345" t="inlineStr">
        <is>
          <t>10pcs Pack</t>
        </is>
      </c>
      <c r="H345" s="4" t="n">
        <v>15</v>
      </c>
      <c r="I345" s="4" t="n">
        <v>10</v>
      </c>
      <c r="J345">
        <f>H345*I345</f>
        <v/>
      </c>
      <c r="K345" t="n">
        <v>7.5</v>
      </c>
      <c r="L345" t="n">
        <v>112.5</v>
      </c>
    </row>
    <row r="346">
      <c r="A346" t="inlineStr">
        <is>
          <t>2026-07</t>
        </is>
      </c>
      <c r="B346" t="inlineStr">
        <is>
          <t>2026-07-16</t>
        </is>
      </c>
      <c r="C346" t="inlineStr">
        <is>
          <t>CC-CC002-0289</t>
        </is>
      </c>
      <c r="D346" t="inlineStr">
        <is>
          <t>SA</t>
        </is>
      </c>
      <c r="E346" t="inlineStr">
        <is>
          <t>Yow Seng Sdn Bhd</t>
        </is>
      </c>
      <c r="F346" t="inlineStr">
        <is>
          <t>Telur Omega</t>
        </is>
      </c>
      <c r="G346" t="inlineStr">
        <is>
          <t>10pcs Pack</t>
        </is>
      </c>
      <c r="H346" s="4" t="n">
        <v>15</v>
      </c>
      <c r="I346" s="4" t="n">
        <v>10</v>
      </c>
      <c r="J346">
        <f>H346*I346</f>
        <v/>
      </c>
      <c r="K346" t="n">
        <v>7.5</v>
      </c>
      <c r="L346" t="n">
        <v>112.5</v>
      </c>
    </row>
    <row r="347">
      <c r="A347" t="inlineStr">
        <is>
          <t>2026-07</t>
        </is>
      </c>
      <c r="B347" t="inlineStr">
        <is>
          <t>2026-07-16</t>
        </is>
      </c>
      <c r="C347" t="inlineStr">
        <is>
          <t>CC-CC001-0299</t>
        </is>
      </c>
      <c r="D347" t="inlineStr">
        <is>
          <t>PJ</t>
        </is>
      </c>
      <c r="E347" t="inlineStr">
        <is>
          <t>Yow Seng Sdn Bhd</t>
        </is>
      </c>
      <c r="F347" t="inlineStr">
        <is>
          <t>Telur Omega</t>
        </is>
      </c>
      <c r="G347" t="inlineStr">
        <is>
          <t>10pcs Pack</t>
        </is>
      </c>
      <c r="H347" s="4" t="n">
        <v>30</v>
      </c>
      <c r="I347" s="4" t="n">
        <v>10</v>
      </c>
      <c r="J347">
        <f>H347*I347</f>
        <v/>
      </c>
      <c r="K347" t="n">
        <v>7.5</v>
      </c>
      <c r="L347" t="n">
        <v>225</v>
      </c>
    </row>
    <row r="348">
      <c r="A348" t="inlineStr">
        <is>
          <t>2026-07</t>
        </is>
      </c>
      <c r="B348" t="inlineStr">
        <is>
          <t>2026-07-22</t>
        </is>
      </c>
      <c r="C348" t="inlineStr">
        <is>
          <t>CC-CC002-0301</t>
        </is>
      </c>
      <c r="D348" t="inlineStr">
        <is>
          <t>SA</t>
        </is>
      </c>
      <c r="E348" t="inlineStr">
        <is>
          <t>Yow Seng Sdn Bhd</t>
        </is>
      </c>
      <c r="F348" t="inlineStr">
        <is>
          <t>Telur Omega</t>
        </is>
      </c>
      <c r="G348" t="inlineStr">
        <is>
          <t>10pcs Pack</t>
        </is>
      </c>
      <c r="H348" s="4" t="n">
        <v>15</v>
      </c>
      <c r="I348" s="4" t="n">
        <v>10</v>
      </c>
      <c r="J348">
        <f>H348*I348</f>
        <v/>
      </c>
      <c r="K348" t="n">
        <v>7.5</v>
      </c>
      <c r="L348" t="n">
        <v>112.5</v>
      </c>
    </row>
    <row r="349">
      <c r="A349" t="inlineStr">
        <is>
          <t>2026-07</t>
        </is>
      </c>
      <c r="B349" t="inlineStr">
        <is>
          <t>2026-07-22</t>
        </is>
      </c>
      <c r="C349" t="inlineStr">
        <is>
          <t>CC-CC001-0315</t>
        </is>
      </c>
      <c r="D349" t="inlineStr">
        <is>
          <t>PJ</t>
        </is>
      </c>
      <c r="E349" t="inlineStr">
        <is>
          <t>Yow Seng Sdn Bhd</t>
        </is>
      </c>
      <c r="F349" t="inlineStr">
        <is>
          <t>Telur Omega</t>
        </is>
      </c>
      <c r="G349" t="inlineStr">
        <is>
          <t>10pcs Pack</t>
        </is>
      </c>
      <c r="H349" s="4" t="n">
        <v>30</v>
      </c>
      <c r="I349" s="4" t="n">
        <v>10</v>
      </c>
      <c r="J349">
        <f>H349*I349</f>
        <v/>
      </c>
      <c r="K349" t="n">
        <v>7.5</v>
      </c>
      <c r="L349" t="n">
        <v>225</v>
      </c>
    </row>
    <row r="350">
      <c r="A350" t="inlineStr">
        <is>
          <t>2026-07</t>
        </is>
      </c>
      <c r="B350" t="inlineStr">
        <is>
          <t>2026-07-22</t>
        </is>
      </c>
      <c r="C350" t="inlineStr">
        <is>
          <t>CC-CC003-0206</t>
        </is>
      </c>
      <c r="D350" t="inlineStr">
        <is>
          <t>TAM</t>
        </is>
      </c>
      <c r="E350" t="inlineStr">
        <is>
          <t>Yow Seng Sdn Bhd</t>
        </is>
      </c>
      <c r="F350" t="inlineStr">
        <is>
          <t>Telur Omega</t>
        </is>
      </c>
      <c r="G350" t="inlineStr">
        <is>
          <t>10pcs Pack</t>
        </is>
      </c>
      <c r="H350" s="4" t="n">
        <v>15</v>
      </c>
      <c r="I350" s="4" t="n">
        <v>10</v>
      </c>
      <c r="J350">
        <f>H350*I350</f>
        <v/>
      </c>
      <c r="K350" t="n">
        <v>7.5</v>
      </c>
      <c r="L350" t="n">
        <v>112.5</v>
      </c>
    </row>
    <row r="351">
      <c r="A351" t="inlineStr">
        <is>
          <t>2026-07</t>
        </is>
      </c>
      <c r="B351" t="inlineStr">
        <is>
          <t>2026-07-23</t>
        </is>
      </c>
      <c r="C351" t="inlineStr">
        <is>
          <t>PC-CC002-0180</t>
        </is>
      </c>
      <c r="D351" t="inlineStr">
        <is>
          <t>SA</t>
        </is>
      </c>
      <c r="E351" t="inlineStr">
        <is>
          <t>Ad-hoc Purchase</t>
        </is>
      </c>
      <c r="F351" t="inlineStr">
        <is>
          <t>Telur Omega</t>
        </is>
      </c>
      <c r="G351" t="inlineStr">
        <is>
          <t>10pcs Pack</t>
        </is>
      </c>
      <c r="H351" s="4" t="n">
        <v>2</v>
      </c>
      <c r="I351" s="4" t="n">
        <v>10</v>
      </c>
      <c r="J351">
        <f>H351*I351</f>
        <v/>
      </c>
      <c r="K351" t="n">
        <v>11.2</v>
      </c>
      <c r="L351" t="n">
        <v>22.4</v>
      </c>
    </row>
    <row r="352">
      <c r="A352" t="inlineStr">
        <is>
          <t>2026-07</t>
        </is>
      </c>
      <c r="B352" t="inlineStr">
        <is>
          <t>2026-07-23</t>
        </is>
      </c>
      <c r="C352" t="inlineStr">
        <is>
          <t>CC-CC002-0307</t>
        </is>
      </c>
      <c r="D352" t="inlineStr">
        <is>
          <t>SA</t>
        </is>
      </c>
      <c r="E352" t="inlineStr">
        <is>
          <t>Yow Seng Sdn Bhd</t>
        </is>
      </c>
      <c r="F352" t="inlineStr">
        <is>
          <t>Telur Omega</t>
        </is>
      </c>
      <c r="G352" t="inlineStr">
        <is>
          <t>10pcs Pack</t>
        </is>
      </c>
      <c r="H352" s="4" t="n">
        <v>15</v>
      </c>
      <c r="I352" s="4" t="n">
        <v>10</v>
      </c>
      <c r="J352">
        <f>H352*I352</f>
        <v/>
      </c>
      <c r="K352" t="n">
        <v>7.5</v>
      </c>
      <c r="L352" t="n">
        <v>112.5</v>
      </c>
    </row>
    <row r="353">
      <c r="A353" t="inlineStr">
        <is>
          <t>2026-07</t>
        </is>
      </c>
      <c r="B353" t="inlineStr">
        <is>
          <t>2026-07-23</t>
        </is>
      </c>
      <c r="C353" t="inlineStr">
        <is>
          <t>PC-CC001-0329</t>
        </is>
      </c>
      <c r="D353" t="inlineStr">
        <is>
          <t>PJ</t>
        </is>
      </c>
      <c r="E353" t="inlineStr">
        <is>
          <t>Yow Seng Sdn Bhd</t>
        </is>
      </c>
      <c r="F353" t="inlineStr">
        <is>
          <t>Telur Omega</t>
        </is>
      </c>
      <c r="G353" t="inlineStr">
        <is>
          <t>10pcs Pack</t>
        </is>
      </c>
      <c r="H353" s="4" t="n">
        <v>15</v>
      </c>
      <c r="I353" s="4" t="n">
        <v>10</v>
      </c>
      <c r="J353">
        <f>H353*I353</f>
        <v/>
      </c>
      <c r="K353" t="n">
        <v>7.5</v>
      </c>
      <c r="L353" t="n">
        <v>112.5</v>
      </c>
    </row>
    <row r="354">
      <c r="A354" t="inlineStr">
        <is>
          <t>2026-07</t>
        </is>
      </c>
      <c r="B354" t="inlineStr">
        <is>
          <t>2026-07-23</t>
        </is>
      </c>
      <c r="C354" t="inlineStr">
        <is>
          <t>PC-CC003-0176</t>
        </is>
      </c>
      <c r="D354" t="inlineStr">
        <is>
          <t>TAM</t>
        </is>
      </c>
      <c r="E354" t="inlineStr">
        <is>
          <t>Yow Seng Sdn Bhd</t>
        </is>
      </c>
      <c r="F354" t="inlineStr">
        <is>
          <t>Telur Omega</t>
        </is>
      </c>
      <c r="G354" t="inlineStr">
        <is>
          <t>10pcs Pack</t>
        </is>
      </c>
      <c r="H354" s="4" t="n">
        <v>15</v>
      </c>
      <c r="I354" s="4" t="n">
        <v>10</v>
      </c>
      <c r="J354">
        <f>H354*I354</f>
        <v/>
      </c>
      <c r="K354" t="n">
        <v>7.5</v>
      </c>
      <c r="L354" t="n">
        <v>112.5</v>
      </c>
    </row>
    <row r="355">
      <c r="A355" t="inlineStr">
        <is>
          <t>2026-07</t>
        </is>
      </c>
      <c r="B355" t="inlineStr">
        <is>
          <t>2026-07-23</t>
        </is>
      </c>
      <c r="C355" t="inlineStr">
        <is>
          <t>PC-CC001-0345</t>
        </is>
      </c>
      <c r="D355" t="inlineStr">
        <is>
          <t>PJ</t>
        </is>
      </c>
      <c r="E355" t="inlineStr">
        <is>
          <t>Ad-hoc Purchase</t>
        </is>
      </c>
      <c r="F355" t="inlineStr">
        <is>
          <t>Telur Omega</t>
        </is>
      </c>
      <c r="G355" t="inlineStr">
        <is>
          <t>10pcs Pack</t>
        </is>
      </c>
      <c r="H355" s="4" t="n">
        <v>3</v>
      </c>
      <c r="I355" s="4" t="n">
        <v>10</v>
      </c>
      <c r="J355">
        <f>H355*I355</f>
        <v/>
      </c>
      <c r="K355" t="n">
        <v>9.380000000000001</v>
      </c>
      <c r="L355" t="n">
        <v>28.15</v>
      </c>
    </row>
    <row r="356">
      <c r="A356" t="inlineStr">
        <is>
          <t>2026-07</t>
        </is>
      </c>
      <c r="B356" t="inlineStr">
        <is>
          <t>2026-07-23</t>
        </is>
      </c>
      <c r="C356" t="inlineStr">
        <is>
          <t>PC-CC001-0346</t>
        </is>
      </c>
      <c r="D356" t="inlineStr">
        <is>
          <t>PJ</t>
        </is>
      </c>
      <c r="E356" t="inlineStr">
        <is>
          <t>Ad-hoc Purchase</t>
        </is>
      </c>
      <c r="F356" t="inlineStr">
        <is>
          <t>Telur Omega</t>
        </is>
      </c>
      <c r="G356" t="inlineStr">
        <is>
          <t>10pcs Pack</t>
        </is>
      </c>
      <c r="H356" s="4" t="n">
        <v>3</v>
      </c>
      <c r="I356" s="4" t="n">
        <v>10</v>
      </c>
      <c r="J356">
        <f>H356*I356</f>
        <v/>
      </c>
      <c r="K356" t="n">
        <v>11.5</v>
      </c>
      <c r="L356" t="n">
        <v>34.5</v>
      </c>
    </row>
    <row r="357">
      <c r="A357" t="inlineStr">
        <is>
          <t>2026-07</t>
        </is>
      </c>
      <c r="B357" t="inlineStr">
        <is>
          <t>2026-07-26</t>
        </is>
      </c>
      <c r="C357" t="inlineStr">
        <is>
          <t>CC-CC001-0325</t>
        </is>
      </c>
      <c r="D357" t="inlineStr">
        <is>
          <t>PJ</t>
        </is>
      </c>
      <c r="E357" t="inlineStr">
        <is>
          <t>Yow Seng Sdn Bhd</t>
        </is>
      </c>
      <c r="F357" t="inlineStr">
        <is>
          <t>Telur Omega</t>
        </is>
      </c>
      <c r="G357" t="inlineStr">
        <is>
          <t>10pcs Pack</t>
        </is>
      </c>
      <c r="H357" s="4" t="n">
        <v>30</v>
      </c>
      <c r="I357" s="4" t="n">
        <v>10</v>
      </c>
      <c r="J357">
        <f>H357*I357</f>
        <v/>
      </c>
      <c r="K357" t="n">
        <v>7.5</v>
      </c>
      <c r="L357" t="n">
        <v>225</v>
      </c>
    </row>
    <row r="358">
      <c r="A358" t="inlineStr">
        <is>
          <t>2026-07</t>
        </is>
      </c>
      <c r="B358" t="inlineStr">
        <is>
          <t>2026-07-26</t>
        </is>
      </c>
      <c r="C358" t="inlineStr">
        <is>
          <t>CC-CC003-0212</t>
        </is>
      </c>
      <c r="D358" t="inlineStr">
        <is>
          <t>TAM</t>
        </is>
      </c>
      <c r="E358" t="inlineStr">
        <is>
          <t>Yow Seng Sdn Bhd</t>
        </is>
      </c>
      <c r="F358" t="inlineStr">
        <is>
          <t>Telur Omega</t>
        </is>
      </c>
      <c r="G358" t="inlineStr">
        <is>
          <t>10pcs Pack</t>
        </is>
      </c>
      <c r="H358" s="4" t="n">
        <v>15</v>
      </c>
      <c r="I358" s="4" t="n">
        <v>10</v>
      </c>
      <c r="J358">
        <f>H358*I358</f>
        <v/>
      </c>
      <c r="K358" t="n">
        <v>7.5</v>
      </c>
      <c r="L358" t="n">
        <v>112.5</v>
      </c>
    </row>
    <row r="359">
      <c r="A359" t="inlineStr">
        <is>
          <t>2026-04</t>
        </is>
      </c>
      <c r="B359" t="inlineStr">
        <is>
          <t>2026-04-18</t>
        </is>
      </c>
      <c r="C359" t="inlineStr">
        <is>
          <t>PC-CC002-0018</t>
        </is>
      </c>
      <c r="D359" t="inlineStr">
        <is>
          <t>SA</t>
        </is>
      </c>
      <c r="E359" t="inlineStr">
        <is>
          <t>Ad-hoc Purchase</t>
        </is>
      </c>
      <c r="F359" t="inlineStr">
        <is>
          <t>Udang</t>
        </is>
      </c>
      <c r="G359" t="inlineStr">
        <is>
          <t>Pack (1000g)</t>
        </is>
      </c>
      <c r="H359" s="4" t="n">
        <v>10</v>
      </c>
      <c r="I359" s="4" t="n">
        <v>1000</v>
      </c>
      <c r="J359">
        <f>H359*I359</f>
        <v/>
      </c>
      <c r="K359" t="n">
        <v>15.5</v>
      </c>
      <c r="L359" t="n">
        <v>155</v>
      </c>
    </row>
    <row r="360">
      <c r="A360" t="inlineStr">
        <is>
          <t>2026-04</t>
        </is>
      </c>
      <c r="B360" t="inlineStr">
        <is>
          <t>2026-04-18</t>
        </is>
      </c>
      <c r="C360" t="inlineStr">
        <is>
          <t>PC-CC001-0022</t>
        </is>
      </c>
      <c r="D360" t="inlineStr">
        <is>
          <t>PJ</t>
        </is>
      </c>
      <c r="E360" t="inlineStr">
        <is>
          <t>Ad-hoc Purchase</t>
        </is>
      </c>
      <c r="F360" t="inlineStr">
        <is>
          <t>Udang</t>
        </is>
      </c>
      <c r="G360" t="inlineStr">
        <is>
          <t>Pack (1000g)</t>
        </is>
      </c>
      <c r="H360" s="4" t="n">
        <v>10</v>
      </c>
      <c r="I360" s="4" t="n">
        <v>1000</v>
      </c>
      <c r="J360">
        <f>H360*I360</f>
        <v/>
      </c>
      <c r="K360" t="n">
        <v>15.5</v>
      </c>
      <c r="L360" t="n">
        <v>155</v>
      </c>
    </row>
    <row r="361">
      <c r="A361" t="inlineStr">
        <is>
          <t>2026-04</t>
        </is>
      </c>
      <c r="B361" t="inlineStr">
        <is>
          <t>2026-04-18</t>
        </is>
      </c>
      <c r="C361" t="inlineStr">
        <is>
          <t>PC-CC003-0008</t>
        </is>
      </c>
      <c r="D361" t="inlineStr">
        <is>
          <t>TAM</t>
        </is>
      </c>
      <c r="E361" t="inlineStr">
        <is>
          <t>Ad-hoc Purchase</t>
        </is>
      </c>
      <c r="F361" t="inlineStr">
        <is>
          <t>Udang</t>
        </is>
      </c>
      <c r="G361" t="inlineStr">
        <is>
          <t>Pack (1000g)</t>
        </is>
      </c>
      <c r="H361" s="4" t="n">
        <v>10</v>
      </c>
      <c r="I361" s="4" t="n">
        <v>1000</v>
      </c>
      <c r="J361">
        <f>H361*I361</f>
        <v/>
      </c>
      <c r="K361" t="n">
        <v>15.5</v>
      </c>
      <c r="L361" t="n">
        <v>155</v>
      </c>
    </row>
    <row r="362">
      <c r="A362" t="inlineStr">
        <is>
          <t>2026-04</t>
        </is>
      </c>
      <c r="B362" t="inlineStr">
        <is>
          <t>2026-04-22</t>
        </is>
      </c>
      <c r="C362" t="inlineStr">
        <is>
          <t>CC-CC001-0025</t>
        </is>
      </c>
      <c r="D362" t="inlineStr">
        <is>
          <t>PJ</t>
        </is>
      </c>
      <c r="E362" t="inlineStr">
        <is>
          <t>CATELUX ENTERPRISE</t>
        </is>
      </c>
      <c r="F362" t="inlineStr">
        <is>
          <t>Udang</t>
        </is>
      </c>
      <c r="G362" t="inlineStr">
        <is>
          <t>Carton (10× Pack (1000g))</t>
        </is>
      </c>
      <c r="H362" s="4" t="n">
        <v>1</v>
      </c>
      <c r="I362" s="4" t="n">
        <v>10000</v>
      </c>
      <c r="J362">
        <f>H362*I362</f>
        <v/>
      </c>
      <c r="K362" t="n">
        <v>155</v>
      </c>
      <c r="L362" t="n">
        <v>155</v>
      </c>
    </row>
    <row r="363">
      <c r="A363" t="inlineStr">
        <is>
          <t>2026-04</t>
        </is>
      </c>
      <c r="B363" t="inlineStr">
        <is>
          <t>2026-04-22</t>
        </is>
      </c>
      <c r="C363" t="inlineStr">
        <is>
          <t>CC-CC002-0024</t>
        </is>
      </c>
      <c r="D363" t="inlineStr">
        <is>
          <t>SA</t>
        </is>
      </c>
      <c r="E363" t="inlineStr">
        <is>
          <t>CATELUX ENTERPRISE</t>
        </is>
      </c>
      <c r="F363" t="inlineStr">
        <is>
          <t>Udang</t>
        </is>
      </c>
      <c r="G363" t="inlineStr">
        <is>
          <t>Carton (10× Pack (1000g))</t>
        </is>
      </c>
      <c r="H363" s="4" t="n">
        <v>1</v>
      </c>
      <c r="I363" s="4" t="n">
        <v>10000</v>
      </c>
      <c r="J363">
        <f>H363*I363</f>
        <v/>
      </c>
      <c r="K363" t="n">
        <v>155</v>
      </c>
      <c r="L363" t="n">
        <v>155</v>
      </c>
    </row>
    <row r="364">
      <c r="A364" t="inlineStr">
        <is>
          <t>2026-04</t>
        </is>
      </c>
      <c r="B364" t="inlineStr">
        <is>
          <t>2026-04-22</t>
        </is>
      </c>
      <c r="C364" t="inlineStr">
        <is>
          <t>CC-CC003-0013</t>
        </is>
      </c>
      <c r="D364" t="inlineStr">
        <is>
          <t>TAM</t>
        </is>
      </c>
      <c r="E364" t="inlineStr">
        <is>
          <t>CATELUX ENTERPRISE</t>
        </is>
      </c>
      <c r="F364" t="inlineStr">
        <is>
          <t>Udang</t>
        </is>
      </c>
      <c r="G364" t="inlineStr">
        <is>
          <t>Carton (10× Pack (1000g))</t>
        </is>
      </c>
      <c r="H364" s="4" t="n">
        <v>1</v>
      </c>
      <c r="I364" s="4" t="n">
        <v>10000</v>
      </c>
      <c r="J364">
        <f>H364*I364</f>
        <v/>
      </c>
      <c r="K364" t="n">
        <v>155</v>
      </c>
      <c r="L364" t="n">
        <v>155</v>
      </c>
    </row>
    <row r="365">
      <c r="A365" t="inlineStr">
        <is>
          <t>2026-05</t>
        </is>
      </c>
      <c r="B365" t="inlineStr">
        <is>
          <t>2026-05-03</t>
        </is>
      </c>
      <c r="C365" t="inlineStr">
        <is>
          <t>CC-CC001-0055</t>
        </is>
      </c>
      <c r="D365" t="inlineStr">
        <is>
          <t>PJ</t>
        </is>
      </c>
      <c r="E365" t="inlineStr">
        <is>
          <t>CATELUX ENTERPRISE</t>
        </is>
      </c>
      <c r="F365" t="inlineStr">
        <is>
          <t>Udang</t>
        </is>
      </c>
      <c r="G365" t="inlineStr">
        <is>
          <t>Carton (10× Pack (1000g))</t>
        </is>
      </c>
      <c r="H365" s="4" t="n">
        <v>1</v>
      </c>
      <c r="I365" s="4" t="n">
        <v>10000</v>
      </c>
      <c r="J365">
        <f>H365*I365</f>
        <v/>
      </c>
      <c r="K365" t="n">
        <v>155</v>
      </c>
      <c r="L365" t="n">
        <v>155</v>
      </c>
    </row>
    <row r="366">
      <c r="A366" t="inlineStr">
        <is>
          <t>2026-05</t>
        </is>
      </c>
      <c r="B366" t="inlineStr">
        <is>
          <t>2026-05-03</t>
        </is>
      </c>
      <c r="C366" t="inlineStr">
        <is>
          <t>CC-CC002-0043</t>
        </is>
      </c>
      <c r="D366" t="inlineStr">
        <is>
          <t>SA</t>
        </is>
      </c>
      <c r="E366" t="inlineStr">
        <is>
          <t>CATELUX ENTERPRISE</t>
        </is>
      </c>
      <c r="F366" t="inlineStr">
        <is>
          <t>Udang</t>
        </is>
      </c>
      <c r="G366" t="inlineStr">
        <is>
          <t>Carton (10× Pack (1000g))</t>
        </is>
      </c>
      <c r="H366" s="4" t="n">
        <v>1</v>
      </c>
      <c r="I366" s="4" t="n">
        <v>10000</v>
      </c>
      <c r="J366">
        <f>H366*I366</f>
        <v/>
      </c>
      <c r="K366" t="n">
        <v>155</v>
      </c>
      <c r="L366" t="n">
        <v>155</v>
      </c>
    </row>
    <row r="367">
      <c r="A367" t="inlineStr">
        <is>
          <t>2026-05</t>
        </is>
      </c>
      <c r="B367" t="inlineStr">
        <is>
          <t>2026-05-03</t>
        </is>
      </c>
      <c r="C367" t="inlineStr">
        <is>
          <t>CC-CC003-0025</t>
        </is>
      </c>
      <c r="D367" t="inlineStr">
        <is>
          <t>TAM</t>
        </is>
      </c>
      <c r="E367" t="inlineStr">
        <is>
          <t>CATELUX ENTERPRISE</t>
        </is>
      </c>
      <c r="F367" t="inlineStr">
        <is>
          <t>Udang</t>
        </is>
      </c>
      <c r="G367" t="inlineStr">
        <is>
          <t>Carton (10× Pack (1000g))</t>
        </is>
      </c>
      <c r="H367" s="4" t="n">
        <v>1</v>
      </c>
      <c r="I367" s="4" t="n">
        <v>10000</v>
      </c>
      <c r="J367">
        <f>H367*I367</f>
        <v/>
      </c>
      <c r="K367" t="n">
        <v>155</v>
      </c>
      <c r="L367" t="n">
        <v>155</v>
      </c>
    </row>
    <row r="368">
      <c r="A368" t="inlineStr">
        <is>
          <t>2026-05</t>
        </is>
      </c>
      <c r="B368" t="inlineStr">
        <is>
          <t>2026-05-12</t>
        </is>
      </c>
      <c r="C368" t="inlineStr">
        <is>
          <t>PC-CC001-0094</t>
        </is>
      </c>
      <c r="D368" t="inlineStr">
        <is>
          <t>PJ</t>
        </is>
      </c>
      <c r="E368" t="inlineStr">
        <is>
          <t>CATELUX ENTERPRISE</t>
        </is>
      </c>
      <c r="F368" t="inlineStr">
        <is>
          <t>Udang</t>
        </is>
      </c>
      <c r="G368" t="inlineStr">
        <is>
          <t>Carton (10× Pack (1000g))</t>
        </is>
      </c>
      <c r="H368" s="4" t="n">
        <v>2</v>
      </c>
      <c r="I368" s="4" t="n">
        <v>10000</v>
      </c>
      <c r="J368">
        <f>H368*I368</f>
        <v/>
      </c>
      <c r="K368" t="n">
        <v>168</v>
      </c>
      <c r="L368" t="n">
        <v>336</v>
      </c>
    </row>
    <row r="369">
      <c r="A369" t="inlineStr">
        <is>
          <t>2026-05</t>
        </is>
      </c>
      <c r="B369" t="inlineStr">
        <is>
          <t>2026-05-14</t>
        </is>
      </c>
      <c r="C369" t="inlineStr">
        <is>
          <t>PC-CC002-0053</t>
        </is>
      </c>
      <c r="D369" t="inlineStr">
        <is>
          <t>SA</t>
        </is>
      </c>
      <c r="E369" t="inlineStr">
        <is>
          <t>Ad-hoc Purchase</t>
        </is>
      </c>
      <c r="F369" t="inlineStr">
        <is>
          <t>Udang</t>
        </is>
      </c>
      <c r="G369" t="inlineStr">
        <is>
          <t>Pack (1000g)</t>
        </is>
      </c>
      <c r="H369" s="4" t="n">
        <v>1</v>
      </c>
      <c r="I369" s="4" t="n">
        <v>1000</v>
      </c>
      <c r="J369">
        <f>H369*I369</f>
        <v/>
      </c>
      <c r="K369" t="n">
        <v>24.15</v>
      </c>
      <c r="L369" t="n">
        <v>24.15</v>
      </c>
    </row>
    <row r="370">
      <c r="A370" t="inlineStr">
        <is>
          <t>2026-05</t>
        </is>
      </c>
      <c r="B370" t="inlineStr">
        <is>
          <t>2026-05-24</t>
        </is>
      </c>
      <c r="C370" t="inlineStr">
        <is>
          <t>CC-CC001-0141</t>
        </is>
      </c>
      <c r="D370" t="inlineStr">
        <is>
          <t>PJ</t>
        </is>
      </c>
      <c r="E370" t="inlineStr">
        <is>
          <t>CATELUX ENTERPRISE</t>
        </is>
      </c>
      <c r="F370" t="inlineStr">
        <is>
          <t>Udang</t>
        </is>
      </c>
      <c r="G370" t="inlineStr">
        <is>
          <t>Carton (10× Pack (1000g))</t>
        </is>
      </c>
      <c r="H370" s="4" t="n">
        <v>1</v>
      </c>
      <c r="I370" s="4" t="n">
        <v>10000</v>
      </c>
      <c r="J370">
        <f>H370*I370</f>
        <v/>
      </c>
      <c r="K370" t="n">
        <v>155</v>
      </c>
      <c r="L370" t="n">
        <v>155</v>
      </c>
    </row>
    <row r="371">
      <c r="A371" t="inlineStr">
        <is>
          <t>2026-05</t>
        </is>
      </c>
      <c r="B371" t="inlineStr">
        <is>
          <t>2026-05-24</t>
        </is>
      </c>
      <c r="C371" t="inlineStr">
        <is>
          <t>CC-CC002-0133</t>
        </is>
      </c>
      <c r="D371" t="inlineStr">
        <is>
          <t>SA</t>
        </is>
      </c>
      <c r="E371" t="inlineStr">
        <is>
          <t>CATELUX ENTERPRISE</t>
        </is>
      </c>
      <c r="F371" t="inlineStr">
        <is>
          <t>Udang</t>
        </is>
      </c>
      <c r="G371" t="inlineStr">
        <is>
          <t>Carton (10× Pack (1000g))</t>
        </is>
      </c>
      <c r="H371" s="4" t="n">
        <v>1</v>
      </c>
      <c r="I371" s="4" t="n">
        <v>10000</v>
      </c>
      <c r="J371">
        <f>H371*I371</f>
        <v/>
      </c>
      <c r="K371" t="n">
        <v>155</v>
      </c>
      <c r="L371" t="n">
        <v>155</v>
      </c>
    </row>
    <row r="372">
      <c r="A372" t="inlineStr">
        <is>
          <t>2026-05</t>
        </is>
      </c>
      <c r="B372" t="inlineStr">
        <is>
          <t>2026-05-24</t>
        </is>
      </c>
      <c r="C372" t="inlineStr">
        <is>
          <t>CC-CC003-0092</t>
        </is>
      </c>
      <c r="D372" t="inlineStr">
        <is>
          <t>TAM</t>
        </is>
      </c>
      <c r="E372" t="inlineStr">
        <is>
          <t>CATELUX ENTERPRISE</t>
        </is>
      </c>
      <c r="F372" t="inlineStr">
        <is>
          <t>Udang</t>
        </is>
      </c>
      <c r="G372" t="inlineStr">
        <is>
          <t>Carton (10× Pack (1000g))</t>
        </is>
      </c>
      <c r="H372" s="4" t="n">
        <v>1</v>
      </c>
      <c r="I372" s="4" t="n">
        <v>10000</v>
      </c>
      <c r="J372">
        <f>H372*I372</f>
        <v/>
      </c>
      <c r="K372" t="n">
        <v>155</v>
      </c>
      <c r="L372" t="n">
        <v>155</v>
      </c>
    </row>
    <row r="373">
      <c r="A373" t="inlineStr">
        <is>
          <t>2026-06</t>
        </is>
      </c>
      <c r="B373" t="inlineStr">
        <is>
          <t>2026-06-11</t>
        </is>
      </c>
      <c r="C373" t="inlineStr">
        <is>
          <t>PC-CC002-0105</t>
        </is>
      </c>
      <c r="D373" t="inlineStr">
        <is>
          <t>SA</t>
        </is>
      </c>
      <c r="E373" t="inlineStr">
        <is>
          <t>CATELUX ENTERPRISE</t>
        </is>
      </c>
      <c r="F373" t="inlineStr">
        <is>
          <t>Udang</t>
        </is>
      </c>
      <c r="G373" t="inlineStr">
        <is>
          <t>Carton (10× Pack (1000g))</t>
        </is>
      </c>
      <c r="H373" s="4" t="n">
        <v>10</v>
      </c>
      <c r="I373" s="4" t="n">
        <v>10000</v>
      </c>
      <c r="J373">
        <f>H373*I373</f>
        <v/>
      </c>
      <c r="K373" t="n">
        <v>18.1</v>
      </c>
      <c r="L373" t="n">
        <v>181</v>
      </c>
    </row>
    <row r="374">
      <c r="A374" t="inlineStr">
        <is>
          <t>2026-06</t>
        </is>
      </c>
      <c r="B374" t="inlineStr">
        <is>
          <t>2026-06-11</t>
        </is>
      </c>
      <c r="C374" t="inlineStr">
        <is>
          <t>PC-CC003-0098</t>
        </is>
      </c>
      <c r="D374" t="inlineStr">
        <is>
          <t>TAM</t>
        </is>
      </c>
      <c r="E374" t="inlineStr">
        <is>
          <t>CATELUX ENTERPRISE</t>
        </is>
      </c>
      <c r="F374" t="inlineStr">
        <is>
          <t>Udang</t>
        </is>
      </c>
      <c r="G374" t="inlineStr">
        <is>
          <t>Carton (10× Pack (1000g))</t>
        </is>
      </c>
      <c r="H374" s="4" t="n">
        <v>10</v>
      </c>
      <c r="I374" s="4" t="n">
        <v>10000</v>
      </c>
      <c r="J374">
        <f>H374*I374</f>
        <v/>
      </c>
      <c r="K374" t="n">
        <v>18.1</v>
      </c>
      <c r="L374" t="n">
        <v>181</v>
      </c>
    </row>
    <row r="375">
      <c r="A375" t="inlineStr">
        <is>
          <t>2026-06</t>
        </is>
      </c>
      <c r="B375" t="inlineStr">
        <is>
          <t>2026-06-11</t>
        </is>
      </c>
      <c r="C375" t="inlineStr">
        <is>
          <t>PC-CC001-0212</t>
        </is>
      </c>
      <c r="D375" t="inlineStr">
        <is>
          <t>PJ</t>
        </is>
      </c>
      <c r="E375" t="inlineStr">
        <is>
          <t>CATELUX ENTERPRISE</t>
        </is>
      </c>
      <c r="F375" t="inlineStr">
        <is>
          <t>Udang</t>
        </is>
      </c>
      <c r="G375" t="inlineStr">
        <is>
          <t>Carton (10× Pack (1000g))</t>
        </is>
      </c>
      <c r="H375" s="4" t="n">
        <v>1</v>
      </c>
      <c r="I375" s="4" t="n">
        <v>10000</v>
      </c>
      <c r="J375">
        <f>H375*I375</f>
        <v/>
      </c>
      <c r="K375" t="n">
        <v>181</v>
      </c>
      <c r="L375" t="n">
        <v>181</v>
      </c>
    </row>
    <row r="376">
      <c r="A376" t="inlineStr">
        <is>
          <t>2026-06</t>
        </is>
      </c>
      <c r="B376" t="inlineStr">
        <is>
          <t>2026-06-15</t>
        </is>
      </c>
      <c r="C376" t="inlineStr">
        <is>
          <t>CC-CC001-0208</t>
        </is>
      </c>
      <c r="D376" t="inlineStr">
        <is>
          <t>PJ</t>
        </is>
      </c>
      <c r="E376" t="inlineStr">
        <is>
          <t>CATELUX ENTERPRISE</t>
        </is>
      </c>
      <c r="F376" t="inlineStr">
        <is>
          <t>Udang</t>
        </is>
      </c>
      <c r="G376" t="inlineStr">
        <is>
          <t>Carton (10× Pack (1000g))</t>
        </is>
      </c>
      <c r="H376" s="4" t="n">
        <v>1</v>
      </c>
      <c r="I376" s="4" t="n">
        <v>10000</v>
      </c>
      <c r="J376">
        <f>H376*I376</f>
        <v/>
      </c>
      <c r="K376" t="n">
        <v>181</v>
      </c>
      <c r="L376" t="n">
        <v>181</v>
      </c>
    </row>
    <row r="377">
      <c r="A377" t="inlineStr">
        <is>
          <t>2026-06</t>
        </is>
      </c>
      <c r="B377" t="inlineStr">
        <is>
          <t>2026-06-22</t>
        </is>
      </c>
      <c r="C377" t="inlineStr">
        <is>
          <t>CC-CC002-0222</t>
        </is>
      </c>
      <c r="D377" t="inlineStr">
        <is>
          <t>SA</t>
        </is>
      </c>
      <c r="E377" t="inlineStr">
        <is>
          <t>CATELUX ENTERPRISE</t>
        </is>
      </c>
      <c r="F377" t="inlineStr">
        <is>
          <t>Udang</t>
        </is>
      </c>
      <c r="G377" t="inlineStr">
        <is>
          <t>Carton (10× Pack (1000g))</t>
        </is>
      </c>
      <c r="H377" s="4" t="n">
        <v>1</v>
      </c>
      <c r="I377" s="4" t="n">
        <v>10000</v>
      </c>
      <c r="J377">
        <f>H377*I377</f>
        <v/>
      </c>
      <c r="K377" t="n">
        <v>155</v>
      </c>
      <c r="L377" t="n">
        <v>155</v>
      </c>
    </row>
    <row r="378">
      <c r="A378" t="inlineStr">
        <is>
          <t>2026-07</t>
        </is>
      </c>
      <c r="B378" t="inlineStr">
        <is>
          <t>2026-07-01</t>
        </is>
      </c>
      <c r="C378" t="inlineStr">
        <is>
          <t>CC-CC001-0254</t>
        </is>
      </c>
      <c r="D378" t="inlineStr">
        <is>
          <t>PJ</t>
        </is>
      </c>
      <c r="E378" t="inlineStr">
        <is>
          <t>CATELUX ENTERPRISE</t>
        </is>
      </c>
      <c r="F378" t="inlineStr">
        <is>
          <t>Udang</t>
        </is>
      </c>
      <c r="G378" t="inlineStr">
        <is>
          <t>Carton (10× Pack (1000g))</t>
        </is>
      </c>
      <c r="H378" s="4" t="n">
        <v>2</v>
      </c>
      <c r="I378" s="4" t="n">
        <v>10000</v>
      </c>
      <c r="J378">
        <f>H378*I378</f>
        <v/>
      </c>
      <c r="K378" t="n">
        <v>155</v>
      </c>
      <c r="L378" t="n">
        <v>310</v>
      </c>
    </row>
    <row r="379">
      <c r="A379" t="inlineStr">
        <is>
          <t>2026-07</t>
        </is>
      </c>
      <c r="B379" t="inlineStr">
        <is>
          <t>2026-07-09</t>
        </is>
      </c>
      <c r="C379" t="inlineStr">
        <is>
          <t>PC-CC001-0300</t>
        </is>
      </c>
      <c r="D379" t="inlineStr">
        <is>
          <t>PJ</t>
        </is>
      </c>
      <c r="E379" t="inlineStr">
        <is>
          <t>CATELUX ENTERPRISE</t>
        </is>
      </c>
      <c r="F379" t="inlineStr">
        <is>
          <t>Udang</t>
        </is>
      </c>
      <c r="G379" t="inlineStr">
        <is>
          <t>Carton (10× Pack (1000g))</t>
        </is>
      </c>
      <c r="H379" s="4" t="n">
        <v>1</v>
      </c>
      <c r="I379" s="4" t="n">
        <v>10000</v>
      </c>
      <c r="J379">
        <f>H379*I379</f>
        <v/>
      </c>
      <c r="K379" t="n">
        <v>155</v>
      </c>
      <c r="L379" t="n">
        <v>155</v>
      </c>
    </row>
    <row r="380">
      <c r="A380" t="inlineStr">
        <is>
          <t>2026-07</t>
        </is>
      </c>
      <c r="B380" t="inlineStr">
        <is>
          <t>2026-07-09</t>
        </is>
      </c>
      <c r="C380" t="inlineStr">
        <is>
          <t>PC-CC002-0168</t>
        </is>
      </c>
      <c r="D380" t="inlineStr">
        <is>
          <t>SA</t>
        </is>
      </c>
      <c r="E380" t="inlineStr">
        <is>
          <t>CATELUX ENTERPRISE</t>
        </is>
      </c>
      <c r="F380" t="inlineStr">
        <is>
          <t>Udang</t>
        </is>
      </c>
      <c r="G380" t="inlineStr">
        <is>
          <t>Carton (10× Pack (1000g))</t>
        </is>
      </c>
      <c r="H380" s="4" t="n">
        <v>1</v>
      </c>
      <c r="I380" s="4" t="n">
        <v>10000</v>
      </c>
      <c r="J380">
        <f>H380*I380</f>
        <v/>
      </c>
      <c r="K380" t="n">
        <v>155</v>
      </c>
      <c r="L380" t="n">
        <v>155</v>
      </c>
    </row>
    <row r="381">
      <c r="A381" t="inlineStr">
        <is>
          <t>2026-07</t>
        </is>
      </c>
      <c r="B381" t="inlineStr">
        <is>
          <t>2026-07-14</t>
        </is>
      </c>
      <c r="C381" t="inlineStr">
        <is>
          <t>CC-CC001-0290</t>
        </is>
      </c>
      <c r="D381" t="inlineStr">
        <is>
          <t>PJ</t>
        </is>
      </c>
      <c r="E381" t="inlineStr">
        <is>
          <t>CATELUX ENTERPRISE</t>
        </is>
      </c>
      <c r="F381" t="inlineStr">
        <is>
          <t>Udang</t>
        </is>
      </c>
      <c r="G381" t="inlineStr">
        <is>
          <t>Carton (10× Pack (1000g))</t>
        </is>
      </c>
      <c r="H381" s="4" t="n">
        <v>2</v>
      </c>
      <c r="I381" s="4" t="n">
        <v>10000</v>
      </c>
      <c r="J381">
        <f>H381*I381</f>
        <v/>
      </c>
      <c r="K381" t="n">
        <v>155</v>
      </c>
      <c r="L381" t="n">
        <v>310</v>
      </c>
    </row>
    <row r="382">
      <c r="A382" t="inlineStr">
        <is>
          <t>2026-07</t>
        </is>
      </c>
      <c r="B382" t="inlineStr">
        <is>
          <t>2026-07-20</t>
        </is>
      </c>
      <c r="C382" t="inlineStr">
        <is>
          <t>CC-CC001-0309</t>
        </is>
      </c>
      <c r="D382" t="inlineStr">
        <is>
          <t>PJ</t>
        </is>
      </c>
      <c r="E382" t="inlineStr">
        <is>
          <t>CATELUX ENTERPRISE</t>
        </is>
      </c>
      <c r="F382" t="inlineStr">
        <is>
          <t>Udang</t>
        </is>
      </c>
      <c r="G382" t="inlineStr">
        <is>
          <t>Carton (10× Pack (1000g))</t>
        </is>
      </c>
      <c r="H382" s="4" t="n">
        <v>1</v>
      </c>
      <c r="I382" s="4" t="n">
        <v>10000</v>
      </c>
      <c r="J382">
        <f>H382*I382</f>
        <v/>
      </c>
      <c r="K382" t="n">
        <v>155</v>
      </c>
      <c r="L382" t="n">
        <v>155</v>
      </c>
    </row>
    <row r="383">
      <c r="A383" t="inlineStr">
        <is>
          <t>2026-07</t>
        </is>
      </c>
      <c r="B383" t="inlineStr">
        <is>
          <t>2026-07-20</t>
        </is>
      </c>
      <c r="C383" t="inlineStr">
        <is>
          <t>CC-CC002-0296</t>
        </is>
      </c>
      <c r="D383" t="inlineStr">
        <is>
          <t>SA</t>
        </is>
      </c>
      <c r="E383" t="inlineStr">
        <is>
          <t>CATELUX ENTERPRISE</t>
        </is>
      </c>
      <c r="F383" t="inlineStr">
        <is>
          <t>Udang</t>
        </is>
      </c>
      <c r="G383" t="inlineStr">
        <is>
          <t>Carton (10× Pack (1000g))</t>
        </is>
      </c>
      <c r="H383" s="4" t="n">
        <v>1</v>
      </c>
      <c r="I383" s="4" t="n">
        <v>10000</v>
      </c>
      <c r="J383">
        <f>H383*I383</f>
        <v/>
      </c>
      <c r="K383" t="n">
        <v>155</v>
      </c>
      <c r="L383" t="n">
        <v>155</v>
      </c>
    </row>
    <row r="384">
      <c r="A384" t="inlineStr">
        <is>
          <t>2026-07</t>
        </is>
      </c>
      <c r="B384" t="inlineStr">
        <is>
          <t>2026-07-23</t>
        </is>
      </c>
      <c r="C384" t="inlineStr">
        <is>
          <t>PC-CC002-0182</t>
        </is>
      </c>
      <c r="D384" t="inlineStr">
        <is>
          <t>SA</t>
        </is>
      </c>
      <c r="E384" t="inlineStr">
        <is>
          <t>Ad-hoc Purchase</t>
        </is>
      </c>
      <c r="F384" t="inlineStr">
        <is>
          <t>Udang</t>
        </is>
      </c>
      <c r="G384" t="inlineStr">
        <is>
          <t>Pack (1000g)</t>
        </is>
      </c>
      <c r="H384" s="4" t="n">
        <v>1</v>
      </c>
      <c r="I384" s="4" t="n">
        <v>1000</v>
      </c>
      <c r="J384">
        <f>H384*I384</f>
        <v/>
      </c>
      <c r="K384" t="n">
        <v>38.2</v>
      </c>
      <c r="L384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2026-07-28T14:29:05Z</dcterms:created>
  <dcterms:modified xsi:type="dcterms:W3CDTF">2026-07-28T14:29:05Z</dcterms:modified>
</cp:coreProperties>
</file>