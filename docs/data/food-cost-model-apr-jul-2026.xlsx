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ales Ledger" sheetId="2" state="visible" r:id="rId2"/>
    <sheet name="PO Ledg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2" borderId="0" pivotButton="0" quotePrefix="0" xfId="0"/>
    <xf numFmtId="9" fontId="0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8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</cols>
  <sheetData>
    <row r="1">
      <c r="A1" s="1" t="inlineStr">
        <is>
          <t>CELSIUS FOOD COST MODEL - APR-JUL 2026 (live formulas, outlet-filterable)</t>
        </is>
      </c>
    </row>
    <row r="2">
      <c r="A2" t="inlineStr">
        <is>
          <t>Yellow = editable. Set OUTLET FILTER to PJ / SA / TAM to analyse one outlet, or * for all three. Every result recalculates.</t>
        </is>
      </c>
    </row>
    <row r="3">
      <c r="A3" t="inlineStr">
        <is>
          <t>Tabs: Model | Sales Ledger (menu x month x outlet x dose - PJ/SA/TAM only) | PO Ledger (every purchase line with outlet)</t>
        </is>
      </c>
    </row>
    <row r="4"/>
    <row r="5">
      <c r="A5" t="inlineStr">
        <is>
          <t>OUTLET FILTER (PJ, SA, TAM or * for all):</t>
        </is>
      </c>
      <c r="B5" s="2" t="inlineStr">
        <is>
          <t>*</t>
        </is>
      </c>
    </row>
    <row r="6"/>
    <row r="7">
      <c r="A7" s="3" t="inlineStr">
        <is>
          <t>1. ASSUMPTIONS</t>
        </is>
      </c>
    </row>
    <row r="8">
      <c r="A8" s="4" t="inlineStr">
        <is>
          <t>Ingredient</t>
        </is>
      </c>
      <c r="B8" s="4" t="inlineStr">
        <is>
          <t>UOM</t>
        </is>
      </c>
      <c r="C8" s="4" t="inlineStr">
        <is>
          <t>True cost RM/base unit (EDIT)</t>
        </is>
      </c>
      <c r="D8" s="4" t="inlineStr">
        <is>
          <t>Note</t>
        </is>
      </c>
    </row>
    <row r="9">
      <c r="A9" t="inlineStr">
        <is>
          <t>Home Blend (Collective)</t>
        </is>
      </c>
      <c r="B9" t="inlineStr">
        <is>
          <t>g</t>
        </is>
      </c>
      <c r="C9" s="5" t="n">
        <v>0.093</v>
      </c>
      <c r="D9" t="inlineStr">
        <is>
          <t>RM93/kg beans</t>
        </is>
      </c>
    </row>
    <row r="10">
      <c r="A10" t="inlineStr">
        <is>
          <t>Fresh Milk</t>
        </is>
      </c>
      <c r="B10" t="inlineStr">
        <is>
          <t>ml</t>
        </is>
      </c>
      <c r="C10" s="5" t="n">
        <v>0.007</v>
      </c>
      <c r="D10" t="inlineStr">
        <is>
          <t>RM7/L TRUE price (not package-bug price)</t>
        </is>
      </c>
    </row>
    <row r="11">
      <c r="A11" t="inlineStr">
        <is>
          <t>Brioche Sandwich</t>
        </is>
      </c>
      <c r="B11" t="inlineStr">
        <is>
          <t>pcs</t>
        </is>
      </c>
      <c r="C11" s="5" t="n">
        <v>1.55</v>
      </c>
      <c r="D11" t="inlineStr">
        <is>
          <t>RM15.50 per 10-pc loaf</t>
        </is>
      </c>
    </row>
    <row r="12">
      <c r="A12" t="inlineStr">
        <is>
          <t>Telur Omega</t>
        </is>
      </c>
      <c r="B12" t="inlineStr">
        <is>
          <t>pcs</t>
        </is>
      </c>
      <c r="C12" s="5" t="n">
        <v>0.76</v>
      </c>
      <c r="D12" t="inlineStr">
        <is>
          <t>per egg</t>
        </is>
      </c>
    </row>
    <row r="13">
      <c r="A13" t="inlineStr">
        <is>
          <t>Burnt Cheesecake</t>
        </is>
      </c>
      <c r="B13" t="inlineStr">
        <is>
          <t>pcs</t>
        </is>
      </c>
      <c r="C13" s="5" t="n">
        <v>8.33</v>
      </c>
      <c r="D13" t="inlineStr">
        <is>
          <t>per slice</t>
        </is>
      </c>
    </row>
    <row r="14">
      <c r="A14" t="inlineStr">
        <is>
          <t>Salted Croissant</t>
        </is>
      </c>
      <c r="B14" t="inlineStr">
        <is>
          <t>pcs</t>
        </is>
      </c>
      <c r="C14" s="5" t="n">
        <v>6.09</v>
      </c>
      <c r="D14" t="inlineStr">
        <is>
          <t>per pc</t>
        </is>
      </c>
    </row>
    <row r="15">
      <c r="A15" t="inlineStr">
        <is>
          <t>Udang</t>
        </is>
      </c>
      <c r="B15" t="inlineStr">
        <is>
          <t>g</t>
        </is>
      </c>
      <c r="C15" s="5" t="n">
        <v>0.016</v>
      </c>
      <c r="D15" t="inlineStr">
        <is>
          <t>RM16/kg</t>
        </is>
      </c>
    </row>
    <row r="16">
      <c r="A16" t="inlineStr">
        <is>
          <t>Pull Lamb</t>
        </is>
      </c>
      <c r="B16" t="inlineStr">
        <is>
          <t>g</t>
        </is>
      </c>
      <c r="C16" s="5" t="n">
        <v>0.129</v>
      </c>
      <c r="D16" t="inlineStr">
        <is>
          <t>per g</t>
        </is>
      </c>
    </row>
    <row r="17"/>
    <row r="18">
      <c r="A18" t="inlineStr">
        <is>
          <t>Plan COGS %</t>
        </is>
      </c>
      <c r="B18" s="6" t="n">
        <v>0.38</v>
      </c>
    </row>
    <row r="19"/>
    <row r="20">
      <c r="A20" s="3" t="inlineStr">
        <is>
          <t>2. MONTHLY TOP-DOWN (bank cash lens - chain level, not outlet-filterable: bank lines aren't outlet-split)</t>
        </is>
      </c>
    </row>
    <row r="21">
      <c r="A21" s="4" t="inlineStr">
        <is>
          <t>Month</t>
        </is>
      </c>
      <c r="B21" s="4" t="inlineStr">
        <is>
          <t>Revenue RM</t>
        </is>
      </c>
      <c r="C21" s="4" t="inlineStr">
        <is>
          <t>Cash raw materials RM</t>
        </is>
      </c>
      <c r="D21" s="4" t="inlineStr">
        <is>
          <t>Cash %</t>
        </is>
      </c>
      <c r="E21" s="4" t="inlineStr">
        <is>
          <t>Gap vs plan RM</t>
        </is>
      </c>
    </row>
    <row r="22">
      <c r="A22" t="inlineStr">
        <is>
          <t>2026-04</t>
        </is>
      </c>
      <c r="B22" s="7" t="n">
        <v>335719</v>
      </c>
      <c r="C22" s="7" t="n">
        <v>152525</v>
      </c>
      <c r="D22" s="8">
        <f>C22/B22</f>
        <v/>
      </c>
      <c r="E22" s="7">
        <f>C22-B22*$B$18</f>
        <v/>
      </c>
    </row>
    <row r="23">
      <c r="A23" t="inlineStr">
        <is>
          <t>2026-05</t>
        </is>
      </c>
      <c r="B23" s="7" t="n">
        <v>349775</v>
      </c>
      <c r="C23" s="7" t="n">
        <v>148791</v>
      </c>
      <c r="D23" s="8">
        <f>C23/B23</f>
        <v/>
      </c>
      <c r="E23" s="7">
        <f>C23-B23*$B$18</f>
        <v/>
      </c>
    </row>
    <row r="24">
      <c r="A24" t="inlineStr">
        <is>
          <t>2026-06</t>
        </is>
      </c>
      <c r="B24" s="7" t="n">
        <v>324584</v>
      </c>
      <c r="C24" s="7" t="n">
        <v>148522</v>
      </c>
      <c r="D24" s="8">
        <f>C24/B24</f>
        <v/>
      </c>
      <c r="E24" s="7">
        <f>C24-B24*$B$18</f>
        <v/>
      </c>
    </row>
    <row r="25">
      <c r="A25" t="inlineStr">
        <is>
          <t>2026-07</t>
        </is>
      </c>
      <c r="B25" s="7" t="n">
        <v>290251</v>
      </c>
      <c r="C25" s="7" t="n">
        <v>114754</v>
      </c>
      <c r="D25" s="8">
        <f>C25/B25</f>
        <v/>
      </c>
      <c r="E25" s="7">
        <f>C25-B25*$B$18</f>
        <v/>
      </c>
    </row>
    <row r="26">
      <c r="A26" t="inlineStr">
        <is>
          <t>TOTAL</t>
        </is>
      </c>
      <c r="B26" s="7">
        <f>SUM(B22:B25)</f>
        <v/>
      </c>
      <c r="C26" s="7">
        <f>SUM(C22:C25)</f>
        <v/>
      </c>
      <c r="D26" s="8">
        <f>C26/B26</f>
        <v/>
      </c>
      <c r="E26" s="7">
        <f>SUM(E22:E25)</f>
        <v/>
      </c>
    </row>
    <row r="27"/>
    <row r="28">
      <c r="A28" s="3" t="inlineStr">
        <is>
          <t>3. ANALYSIS ingredient x month - respects the OUTLET FILTER</t>
        </is>
      </c>
    </row>
    <row r="29">
      <c r="A29" s="4" t="inlineStr">
        <is>
          <t>Ingredient</t>
        </is>
      </c>
      <c r="B29" s="4" t="inlineStr">
        <is>
          <t>Month</t>
        </is>
      </c>
      <c r="C29" s="4" t="inlineStr">
        <is>
          <t>Items sold</t>
        </is>
      </c>
      <c r="D29" s="4" t="inlineStr">
        <is>
          <t>Expected usage</t>
        </is>
      </c>
      <c r="E29" s="4" t="inlineStr">
        <is>
          <t>Purchased (recorded)</t>
        </is>
      </c>
      <c r="F29" s="4" t="inlineStr">
        <is>
          <t>Spend RM</t>
        </is>
      </c>
      <c r="G29" s="4" t="inlineStr">
        <is>
          <t>True cost/unit</t>
        </is>
      </c>
      <c r="H29" s="4" t="inlineStr">
        <is>
          <t>Purchased @true cost</t>
        </is>
      </c>
      <c r="I29" s="4" t="inlineStr">
        <is>
          <t>Ratio</t>
        </is>
      </c>
      <c r="J29" s="4" t="inlineStr">
        <is>
          <t>Excess RM</t>
        </is>
      </c>
    </row>
    <row r="30">
      <c r="A30" t="inlineStr">
        <is>
          <t>Home Blend (Collective)</t>
        </is>
      </c>
      <c r="B30" t="inlineStr">
        <is>
          <t>2026-04</t>
        </is>
      </c>
      <c r="C30" s="7">
        <f>SUMIFS('Sales Ledger'!$E$2:$E$834,'Sales Ledger'!$A$2:$A$834,$A30,'Sales Ledger'!$C$2:$C$834,$B30,'Sales Ledger'!$D$2:$D$834,$B$5)</f>
        <v/>
      </c>
      <c r="D30" s="7">
        <f>SUMIFS('Sales Ledger'!$G$2:$G$834,'Sales Ledger'!$A$2:$A$834,$A30,'Sales Ledger'!$C$2:$C$834,$B30,'Sales Ledger'!$D$2:$D$834,$B$5)</f>
        <v/>
      </c>
      <c r="E30" s="7">
        <f>SUMIFS('PO Ledger'!$J$2:$J$384,'PO Ledger'!$F$2:$F$384,$A30,'PO Ledger'!$A$2:$A$384,$B30,'PO Ledger'!$D$2:$D$384,$B$5)</f>
        <v/>
      </c>
      <c r="F30" s="7">
        <f>SUMIFS('PO Ledger'!$L$2:$L$384,'PO Ledger'!$F$2:$F$384,$A30,'PO Ledger'!$A$2:$A$384,$B30,'PO Ledger'!$D$2:$D$384,$B$5)</f>
        <v/>
      </c>
      <c r="G30">
        <f>VLOOKUP($A30,$A$9:$D$16,3,0)</f>
        <v/>
      </c>
      <c r="H30" s="7">
        <f>IF(G30&gt;0,F30/G30,E30)</f>
        <v/>
      </c>
      <c r="I30" s="9">
        <f>IF(D30&gt;0,H30/D30,"")</f>
        <v/>
      </c>
      <c r="J30" s="7">
        <f>MAX(0,F30-D30*G30)</f>
        <v/>
      </c>
    </row>
    <row r="31">
      <c r="A31" t="inlineStr">
        <is>
          <t>Home Blend (Collective)</t>
        </is>
      </c>
      <c r="B31" t="inlineStr">
        <is>
          <t>2026-05</t>
        </is>
      </c>
      <c r="C31" s="7">
        <f>SUMIFS('Sales Ledger'!$E$2:$E$834,'Sales Ledger'!$A$2:$A$834,$A31,'Sales Ledger'!$C$2:$C$834,$B31,'Sales Ledger'!$D$2:$D$834,$B$5)</f>
        <v/>
      </c>
      <c r="D31" s="7">
        <f>SUMIFS('Sales Ledger'!$G$2:$G$834,'Sales Ledger'!$A$2:$A$834,$A31,'Sales Ledger'!$C$2:$C$834,$B31,'Sales Ledger'!$D$2:$D$834,$B$5)</f>
        <v/>
      </c>
      <c r="E31" s="7">
        <f>SUMIFS('PO Ledger'!$J$2:$J$384,'PO Ledger'!$F$2:$F$384,$A31,'PO Ledger'!$A$2:$A$384,$B31,'PO Ledger'!$D$2:$D$384,$B$5)</f>
        <v/>
      </c>
      <c r="F31" s="7">
        <f>SUMIFS('PO Ledger'!$L$2:$L$384,'PO Ledger'!$F$2:$F$384,$A31,'PO Ledger'!$A$2:$A$384,$B31,'PO Ledger'!$D$2:$D$384,$B$5)</f>
        <v/>
      </c>
      <c r="G31">
        <f>VLOOKUP($A31,$A$9:$D$16,3,0)</f>
        <v/>
      </c>
      <c r="H31" s="7">
        <f>IF(G31&gt;0,F31/G31,E31)</f>
        <v/>
      </c>
      <c r="I31" s="9">
        <f>IF(D31&gt;0,H31/D31,"")</f>
        <v/>
      </c>
      <c r="J31" s="7">
        <f>MAX(0,F31-D31*G31)</f>
        <v/>
      </c>
    </row>
    <row r="32">
      <c r="A32" t="inlineStr">
        <is>
          <t>Home Blend (Collective)</t>
        </is>
      </c>
      <c r="B32" t="inlineStr">
        <is>
          <t>2026-06</t>
        </is>
      </c>
      <c r="C32" s="7">
        <f>SUMIFS('Sales Ledger'!$E$2:$E$834,'Sales Ledger'!$A$2:$A$834,$A32,'Sales Ledger'!$C$2:$C$834,$B32,'Sales Ledger'!$D$2:$D$834,$B$5)</f>
        <v/>
      </c>
      <c r="D32" s="7">
        <f>SUMIFS('Sales Ledger'!$G$2:$G$834,'Sales Ledger'!$A$2:$A$834,$A32,'Sales Ledger'!$C$2:$C$834,$B32,'Sales Ledger'!$D$2:$D$834,$B$5)</f>
        <v/>
      </c>
      <c r="E32" s="7">
        <f>SUMIFS('PO Ledger'!$J$2:$J$384,'PO Ledger'!$F$2:$F$384,$A32,'PO Ledger'!$A$2:$A$384,$B32,'PO Ledger'!$D$2:$D$384,$B$5)</f>
        <v/>
      </c>
      <c r="F32" s="7">
        <f>SUMIFS('PO Ledger'!$L$2:$L$384,'PO Ledger'!$F$2:$F$384,$A32,'PO Ledger'!$A$2:$A$384,$B32,'PO Ledger'!$D$2:$D$384,$B$5)</f>
        <v/>
      </c>
      <c r="G32">
        <f>VLOOKUP($A32,$A$9:$D$16,3,0)</f>
        <v/>
      </c>
      <c r="H32" s="7">
        <f>IF(G32&gt;0,F32/G32,E32)</f>
        <v/>
      </c>
      <c r="I32" s="9">
        <f>IF(D32&gt;0,H32/D32,"")</f>
        <v/>
      </c>
      <c r="J32" s="7">
        <f>MAX(0,F32-D32*G32)</f>
        <v/>
      </c>
    </row>
    <row r="33">
      <c r="A33" t="inlineStr">
        <is>
          <t>Home Blend (Collective)</t>
        </is>
      </c>
      <c r="B33" t="inlineStr">
        <is>
          <t>2026-07</t>
        </is>
      </c>
      <c r="C33" s="7">
        <f>SUMIFS('Sales Ledger'!$E$2:$E$834,'Sales Ledger'!$A$2:$A$834,$A33,'Sales Ledger'!$C$2:$C$834,$B33,'Sales Ledger'!$D$2:$D$834,$B$5)</f>
        <v/>
      </c>
      <c r="D33" s="7">
        <f>SUMIFS('Sales Ledger'!$G$2:$G$834,'Sales Ledger'!$A$2:$A$834,$A33,'Sales Ledger'!$C$2:$C$834,$B33,'Sales Ledger'!$D$2:$D$834,$B$5)</f>
        <v/>
      </c>
      <c r="E33" s="7">
        <f>SUMIFS('PO Ledger'!$J$2:$J$384,'PO Ledger'!$F$2:$F$384,$A33,'PO Ledger'!$A$2:$A$384,$B33,'PO Ledger'!$D$2:$D$384,$B$5)</f>
        <v/>
      </c>
      <c r="F33" s="7">
        <f>SUMIFS('PO Ledger'!$L$2:$L$384,'PO Ledger'!$F$2:$F$384,$A33,'PO Ledger'!$A$2:$A$384,$B33,'PO Ledger'!$D$2:$D$384,$B$5)</f>
        <v/>
      </c>
      <c r="G33">
        <f>VLOOKUP($A33,$A$9:$D$16,3,0)</f>
        <v/>
      </c>
      <c r="H33" s="7">
        <f>IF(G33&gt;0,F33/G33,E33)</f>
        <v/>
      </c>
      <c r="I33" s="9">
        <f>IF(D33&gt;0,H33/D33,"")</f>
        <v/>
      </c>
      <c r="J33" s="7">
        <f>MAX(0,F33-D33*G33)</f>
        <v/>
      </c>
    </row>
    <row r="34">
      <c r="A34" t="inlineStr">
        <is>
          <t>Fresh Milk</t>
        </is>
      </c>
      <c r="B34" t="inlineStr">
        <is>
          <t>2026-04</t>
        </is>
      </c>
      <c r="C34" s="7">
        <f>SUMIFS('Sales Ledger'!$E$2:$E$834,'Sales Ledger'!$A$2:$A$834,$A34,'Sales Ledger'!$C$2:$C$834,$B34,'Sales Ledger'!$D$2:$D$834,$B$5)</f>
        <v/>
      </c>
      <c r="D34" s="7">
        <f>SUMIFS('Sales Ledger'!$G$2:$G$834,'Sales Ledger'!$A$2:$A$834,$A34,'Sales Ledger'!$C$2:$C$834,$B34,'Sales Ledger'!$D$2:$D$834,$B$5)</f>
        <v/>
      </c>
      <c r="E34" s="7">
        <f>SUMIFS('PO Ledger'!$J$2:$J$384,'PO Ledger'!$F$2:$F$384,$A34,'PO Ledger'!$A$2:$A$384,$B34,'PO Ledger'!$D$2:$D$384,$B$5)</f>
        <v/>
      </c>
      <c r="F34" s="7">
        <f>SUMIFS('PO Ledger'!$L$2:$L$384,'PO Ledger'!$F$2:$F$384,$A34,'PO Ledger'!$A$2:$A$384,$B34,'PO Ledger'!$D$2:$D$384,$B$5)</f>
        <v/>
      </c>
      <c r="G34">
        <f>VLOOKUP($A34,$A$9:$D$16,3,0)</f>
        <v/>
      </c>
      <c r="H34" s="7">
        <f>IF(G34&gt;0,F34/G34,E34)</f>
        <v/>
      </c>
      <c r="I34" s="9">
        <f>IF(D34&gt;0,H34/D34,"")</f>
        <v/>
      </c>
      <c r="J34" s="7">
        <f>MAX(0,F34-D34*G34)</f>
        <v/>
      </c>
    </row>
    <row r="35">
      <c r="A35" t="inlineStr">
        <is>
          <t>Fresh Milk</t>
        </is>
      </c>
      <c r="B35" t="inlineStr">
        <is>
          <t>2026-05</t>
        </is>
      </c>
      <c r="C35" s="7">
        <f>SUMIFS('Sales Ledger'!$E$2:$E$834,'Sales Ledger'!$A$2:$A$834,$A35,'Sales Ledger'!$C$2:$C$834,$B35,'Sales Ledger'!$D$2:$D$834,$B$5)</f>
        <v/>
      </c>
      <c r="D35" s="7">
        <f>SUMIFS('Sales Ledger'!$G$2:$G$834,'Sales Ledger'!$A$2:$A$834,$A35,'Sales Ledger'!$C$2:$C$834,$B35,'Sales Ledger'!$D$2:$D$834,$B$5)</f>
        <v/>
      </c>
      <c r="E35" s="7">
        <f>SUMIFS('PO Ledger'!$J$2:$J$384,'PO Ledger'!$F$2:$F$384,$A35,'PO Ledger'!$A$2:$A$384,$B35,'PO Ledger'!$D$2:$D$384,$B$5)</f>
        <v/>
      </c>
      <c r="F35" s="7">
        <f>SUMIFS('PO Ledger'!$L$2:$L$384,'PO Ledger'!$F$2:$F$384,$A35,'PO Ledger'!$A$2:$A$384,$B35,'PO Ledger'!$D$2:$D$384,$B$5)</f>
        <v/>
      </c>
      <c r="G35">
        <f>VLOOKUP($A35,$A$9:$D$16,3,0)</f>
        <v/>
      </c>
      <c r="H35" s="7">
        <f>IF(G35&gt;0,F35/G35,E35)</f>
        <v/>
      </c>
      <c r="I35" s="9">
        <f>IF(D35&gt;0,H35/D35,"")</f>
        <v/>
      </c>
      <c r="J35" s="7">
        <f>MAX(0,F35-D35*G35)</f>
        <v/>
      </c>
    </row>
    <row r="36">
      <c r="A36" t="inlineStr">
        <is>
          <t>Fresh Milk</t>
        </is>
      </c>
      <c r="B36" t="inlineStr">
        <is>
          <t>2026-06</t>
        </is>
      </c>
      <c r="C36" s="7">
        <f>SUMIFS('Sales Ledger'!$E$2:$E$834,'Sales Ledger'!$A$2:$A$834,$A36,'Sales Ledger'!$C$2:$C$834,$B36,'Sales Ledger'!$D$2:$D$834,$B$5)</f>
        <v/>
      </c>
      <c r="D36" s="7">
        <f>SUMIFS('Sales Ledger'!$G$2:$G$834,'Sales Ledger'!$A$2:$A$834,$A36,'Sales Ledger'!$C$2:$C$834,$B36,'Sales Ledger'!$D$2:$D$834,$B$5)</f>
        <v/>
      </c>
      <c r="E36" s="7">
        <f>SUMIFS('PO Ledger'!$J$2:$J$384,'PO Ledger'!$F$2:$F$384,$A36,'PO Ledger'!$A$2:$A$384,$B36,'PO Ledger'!$D$2:$D$384,$B$5)</f>
        <v/>
      </c>
      <c r="F36" s="7">
        <f>SUMIFS('PO Ledger'!$L$2:$L$384,'PO Ledger'!$F$2:$F$384,$A36,'PO Ledger'!$A$2:$A$384,$B36,'PO Ledger'!$D$2:$D$384,$B$5)</f>
        <v/>
      </c>
      <c r="G36">
        <f>VLOOKUP($A36,$A$9:$D$16,3,0)</f>
        <v/>
      </c>
      <c r="H36" s="7">
        <f>IF(G36&gt;0,F36/G36,E36)</f>
        <v/>
      </c>
      <c r="I36" s="9">
        <f>IF(D36&gt;0,H36/D36,"")</f>
        <v/>
      </c>
      <c r="J36" s="7">
        <f>MAX(0,F36-D36*G36)</f>
        <v/>
      </c>
    </row>
    <row r="37">
      <c r="A37" t="inlineStr">
        <is>
          <t>Fresh Milk</t>
        </is>
      </c>
      <c r="B37" t="inlineStr">
        <is>
          <t>2026-07</t>
        </is>
      </c>
      <c r="C37" s="7">
        <f>SUMIFS('Sales Ledger'!$E$2:$E$834,'Sales Ledger'!$A$2:$A$834,$A37,'Sales Ledger'!$C$2:$C$834,$B37,'Sales Ledger'!$D$2:$D$834,$B$5)</f>
        <v/>
      </c>
      <c r="D37" s="7">
        <f>SUMIFS('Sales Ledger'!$G$2:$G$834,'Sales Ledger'!$A$2:$A$834,$A37,'Sales Ledger'!$C$2:$C$834,$B37,'Sales Ledger'!$D$2:$D$834,$B$5)</f>
        <v/>
      </c>
      <c r="E37" s="7">
        <f>SUMIFS('PO Ledger'!$J$2:$J$384,'PO Ledger'!$F$2:$F$384,$A37,'PO Ledger'!$A$2:$A$384,$B37,'PO Ledger'!$D$2:$D$384,$B$5)</f>
        <v/>
      </c>
      <c r="F37" s="7">
        <f>SUMIFS('PO Ledger'!$L$2:$L$384,'PO Ledger'!$F$2:$F$384,$A37,'PO Ledger'!$A$2:$A$384,$B37,'PO Ledger'!$D$2:$D$384,$B$5)</f>
        <v/>
      </c>
      <c r="G37">
        <f>VLOOKUP($A37,$A$9:$D$16,3,0)</f>
        <v/>
      </c>
      <c r="H37" s="7">
        <f>IF(G37&gt;0,F37/G37,E37)</f>
        <v/>
      </c>
      <c r="I37" s="9">
        <f>IF(D37&gt;0,H37/D37,"")</f>
        <v/>
      </c>
      <c r="J37" s="7">
        <f>MAX(0,F37-D37*G37)</f>
        <v/>
      </c>
    </row>
    <row r="38">
      <c r="A38" t="inlineStr">
        <is>
          <t>Brioche Sandwich</t>
        </is>
      </c>
      <c r="B38" t="inlineStr">
        <is>
          <t>2026-04</t>
        </is>
      </c>
      <c r="C38" s="7">
        <f>SUMIFS('Sales Ledger'!$E$2:$E$834,'Sales Ledger'!$A$2:$A$834,$A38,'Sales Ledger'!$C$2:$C$834,$B38,'Sales Ledger'!$D$2:$D$834,$B$5)</f>
        <v/>
      </c>
      <c r="D38" s="7">
        <f>SUMIFS('Sales Ledger'!$G$2:$G$834,'Sales Ledger'!$A$2:$A$834,$A38,'Sales Ledger'!$C$2:$C$834,$B38,'Sales Ledger'!$D$2:$D$834,$B$5)</f>
        <v/>
      </c>
      <c r="E38" s="7">
        <f>SUMIFS('PO Ledger'!$J$2:$J$384,'PO Ledger'!$F$2:$F$384,$A38,'PO Ledger'!$A$2:$A$384,$B38,'PO Ledger'!$D$2:$D$384,$B$5)</f>
        <v/>
      </c>
      <c r="F38" s="7">
        <f>SUMIFS('PO Ledger'!$L$2:$L$384,'PO Ledger'!$F$2:$F$384,$A38,'PO Ledger'!$A$2:$A$384,$B38,'PO Ledger'!$D$2:$D$384,$B$5)</f>
        <v/>
      </c>
      <c r="G38">
        <f>VLOOKUP($A38,$A$9:$D$16,3,0)</f>
        <v/>
      </c>
      <c r="H38" s="7">
        <f>IF(G38&gt;0,F38/G38,E38)</f>
        <v/>
      </c>
      <c r="I38" s="9">
        <f>IF(D38&gt;0,H38/D38,"")</f>
        <v/>
      </c>
      <c r="J38" s="7">
        <f>MAX(0,F38-D38*G38)</f>
        <v/>
      </c>
    </row>
    <row r="39">
      <c r="A39" t="inlineStr">
        <is>
          <t>Brioche Sandwich</t>
        </is>
      </c>
      <c r="B39" t="inlineStr">
        <is>
          <t>2026-05</t>
        </is>
      </c>
      <c r="C39" s="7">
        <f>SUMIFS('Sales Ledger'!$E$2:$E$834,'Sales Ledger'!$A$2:$A$834,$A39,'Sales Ledger'!$C$2:$C$834,$B39,'Sales Ledger'!$D$2:$D$834,$B$5)</f>
        <v/>
      </c>
      <c r="D39" s="7">
        <f>SUMIFS('Sales Ledger'!$G$2:$G$834,'Sales Ledger'!$A$2:$A$834,$A39,'Sales Ledger'!$C$2:$C$834,$B39,'Sales Ledger'!$D$2:$D$834,$B$5)</f>
        <v/>
      </c>
      <c r="E39" s="7">
        <f>SUMIFS('PO Ledger'!$J$2:$J$384,'PO Ledger'!$F$2:$F$384,$A39,'PO Ledger'!$A$2:$A$384,$B39,'PO Ledger'!$D$2:$D$384,$B$5)</f>
        <v/>
      </c>
      <c r="F39" s="7">
        <f>SUMIFS('PO Ledger'!$L$2:$L$384,'PO Ledger'!$F$2:$F$384,$A39,'PO Ledger'!$A$2:$A$384,$B39,'PO Ledger'!$D$2:$D$384,$B$5)</f>
        <v/>
      </c>
      <c r="G39">
        <f>VLOOKUP($A39,$A$9:$D$16,3,0)</f>
        <v/>
      </c>
      <c r="H39" s="7">
        <f>IF(G39&gt;0,F39/G39,E39)</f>
        <v/>
      </c>
      <c r="I39" s="9">
        <f>IF(D39&gt;0,H39/D39,"")</f>
        <v/>
      </c>
      <c r="J39" s="7">
        <f>MAX(0,F39-D39*G39)</f>
        <v/>
      </c>
    </row>
    <row r="40">
      <c r="A40" t="inlineStr">
        <is>
          <t>Brioche Sandwich</t>
        </is>
      </c>
      <c r="B40" t="inlineStr">
        <is>
          <t>2026-06</t>
        </is>
      </c>
      <c r="C40" s="7">
        <f>SUMIFS('Sales Ledger'!$E$2:$E$834,'Sales Ledger'!$A$2:$A$834,$A40,'Sales Ledger'!$C$2:$C$834,$B40,'Sales Ledger'!$D$2:$D$834,$B$5)</f>
        <v/>
      </c>
      <c r="D40" s="7">
        <f>SUMIFS('Sales Ledger'!$G$2:$G$834,'Sales Ledger'!$A$2:$A$834,$A40,'Sales Ledger'!$C$2:$C$834,$B40,'Sales Ledger'!$D$2:$D$834,$B$5)</f>
        <v/>
      </c>
      <c r="E40" s="7">
        <f>SUMIFS('PO Ledger'!$J$2:$J$384,'PO Ledger'!$F$2:$F$384,$A40,'PO Ledger'!$A$2:$A$384,$B40,'PO Ledger'!$D$2:$D$384,$B$5)</f>
        <v/>
      </c>
      <c r="F40" s="7">
        <f>SUMIFS('PO Ledger'!$L$2:$L$384,'PO Ledger'!$F$2:$F$384,$A40,'PO Ledger'!$A$2:$A$384,$B40,'PO Ledger'!$D$2:$D$384,$B$5)</f>
        <v/>
      </c>
      <c r="G40">
        <f>VLOOKUP($A40,$A$9:$D$16,3,0)</f>
        <v/>
      </c>
      <c r="H40" s="7">
        <f>IF(G40&gt;0,F40/G40,E40)</f>
        <v/>
      </c>
      <c r="I40" s="9">
        <f>IF(D40&gt;0,H40/D40,"")</f>
        <v/>
      </c>
      <c r="J40" s="7">
        <f>MAX(0,F40-D40*G40)</f>
        <v/>
      </c>
    </row>
    <row r="41">
      <c r="A41" t="inlineStr">
        <is>
          <t>Brioche Sandwich</t>
        </is>
      </c>
      <c r="B41" t="inlineStr">
        <is>
          <t>2026-07</t>
        </is>
      </c>
      <c r="C41" s="7">
        <f>SUMIFS('Sales Ledger'!$E$2:$E$834,'Sales Ledger'!$A$2:$A$834,$A41,'Sales Ledger'!$C$2:$C$834,$B41,'Sales Ledger'!$D$2:$D$834,$B$5)</f>
        <v/>
      </c>
      <c r="D41" s="7">
        <f>SUMIFS('Sales Ledger'!$G$2:$G$834,'Sales Ledger'!$A$2:$A$834,$A41,'Sales Ledger'!$C$2:$C$834,$B41,'Sales Ledger'!$D$2:$D$834,$B$5)</f>
        <v/>
      </c>
      <c r="E41" s="7">
        <f>SUMIFS('PO Ledger'!$J$2:$J$384,'PO Ledger'!$F$2:$F$384,$A41,'PO Ledger'!$A$2:$A$384,$B41,'PO Ledger'!$D$2:$D$384,$B$5)</f>
        <v/>
      </c>
      <c r="F41" s="7">
        <f>SUMIFS('PO Ledger'!$L$2:$L$384,'PO Ledger'!$F$2:$F$384,$A41,'PO Ledger'!$A$2:$A$384,$B41,'PO Ledger'!$D$2:$D$384,$B$5)</f>
        <v/>
      </c>
      <c r="G41">
        <f>VLOOKUP($A41,$A$9:$D$16,3,0)</f>
        <v/>
      </c>
      <c r="H41" s="7">
        <f>IF(G41&gt;0,F41/G41,E41)</f>
        <v/>
      </c>
      <c r="I41" s="9">
        <f>IF(D41&gt;0,H41/D41,"")</f>
        <v/>
      </c>
      <c r="J41" s="7">
        <f>MAX(0,F41-D41*G41)</f>
        <v/>
      </c>
    </row>
    <row r="42">
      <c r="A42" t="inlineStr">
        <is>
          <t>Telur Omega</t>
        </is>
      </c>
      <c r="B42" t="inlineStr">
        <is>
          <t>2026-04</t>
        </is>
      </c>
      <c r="C42" s="7">
        <f>SUMIFS('Sales Ledger'!$E$2:$E$834,'Sales Ledger'!$A$2:$A$834,$A42,'Sales Ledger'!$C$2:$C$834,$B42,'Sales Ledger'!$D$2:$D$834,$B$5)</f>
        <v/>
      </c>
      <c r="D42" s="7">
        <f>SUMIFS('Sales Ledger'!$G$2:$G$834,'Sales Ledger'!$A$2:$A$834,$A42,'Sales Ledger'!$C$2:$C$834,$B42,'Sales Ledger'!$D$2:$D$834,$B$5)</f>
        <v/>
      </c>
      <c r="E42" s="7">
        <f>SUMIFS('PO Ledger'!$J$2:$J$384,'PO Ledger'!$F$2:$F$384,$A42,'PO Ledger'!$A$2:$A$384,$B42,'PO Ledger'!$D$2:$D$384,$B$5)</f>
        <v/>
      </c>
      <c r="F42" s="7">
        <f>SUMIFS('PO Ledger'!$L$2:$L$384,'PO Ledger'!$F$2:$F$384,$A42,'PO Ledger'!$A$2:$A$384,$B42,'PO Ledger'!$D$2:$D$384,$B$5)</f>
        <v/>
      </c>
      <c r="G42">
        <f>VLOOKUP($A42,$A$9:$D$16,3,0)</f>
        <v/>
      </c>
      <c r="H42" s="7">
        <f>IF(G42&gt;0,F42/G42,E42)</f>
        <v/>
      </c>
      <c r="I42" s="9">
        <f>IF(D42&gt;0,H42/D42,"")</f>
        <v/>
      </c>
      <c r="J42" s="7">
        <f>MAX(0,F42-D42*G42)</f>
        <v/>
      </c>
    </row>
    <row r="43">
      <c r="A43" t="inlineStr">
        <is>
          <t>Telur Omega</t>
        </is>
      </c>
      <c r="B43" t="inlineStr">
        <is>
          <t>2026-05</t>
        </is>
      </c>
      <c r="C43" s="7">
        <f>SUMIFS('Sales Ledger'!$E$2:$E$834,'Sales Ledger'!$A$2:$A$834,$A43,'Sales Ledger'!$C$2:$C$834,$B43,'Sales Ledger'!$D$2:$D$834,$B$5)</f>
        <v/>
      </c>
      <c r="D43" s="7">
        <f>SUMIFS('Sales Ledger'!$G$2:$G$834,'Sales Ledger'!$A$2:$A$834,$A43,'Sales Ledger'!$C$2:$C$834,$B43,'Sales Ledger'!$D$2:$D$834,$B$5)</f>
        <v/>
      </c>
      <c r="E43" s="7">
        <f>SUMIFS('PO Ledger'!$J$2:$J$384,'PO Ledger'!$F$2:$F$384,$A43,'PO Ledger'!$A$2:$A$384,$B43,'PO Ledger'!$D$2:$D$384,$B$5)</f>
        <v/>
      </c>
      <c r="F43" s="7">
        <f>SUMIFS('PO Ledger'!$L$2:$L$384,'PO Ledger'!$F$2:$F$384,$A43,'PO Ledger'!$A$2:$A$384,$B43,'PO Ledger'!$D$2:$D$384,$B$5)</f>
        <v/>
      </c>
      <c r="G43">
        <f>VLOOKUP($A43,$A$9:$D$16,3,0)</f>
        <v/>
      </c>
      <c r="H43" s="7">
        <f>IF(G43&gt;0,F43/G43,E43)</f>
        <v/>
      </c>
      <c r="I43" s="9">
        <f>IF(D43&gt;0,H43/D43,"")</f>
        <v/>
      </c>
      <c r="J43" s="7">
        <f>MAX(0,F43-D43*G43)</f>
        <v/>
      </c>
    </row>
    <row r="44">
      <c r="A44" t="inlineStr">
        <is>
          <t>Telur Omega</t>
        </is>
      </c>
      <c r="B44" t="inlineStr">
        <is>
          <t>2026-06</t>
        </is>
      </c>
      <c r="C44" s="7">
        <f>SUMIFS('Sales Ledger'!$E$2:$E$834,'Sales Ledger'!$A$2:$A$834,$A44,'Sales Ledger'!$C$2:$C$834,$B44,'Sales Ledger'!$D$2:$D$834,$B$5)</f>
        <v/>
      </c>
      <c r="D44" s="7">
        <f>SUMIFS('Sales Ledger'!$G$2:$G$834,'Sales Ledger'!$A$2:$A$834,$A44,'Sales Ledger'!$C$2:$C$834,$B44,'Sales Ledger'!$D$2:$D$834,$B$5)</f>
        <v/>
      </c>
      <c r="E44" s="7">
        <f>SUMIFS('PO Ledger'!$J$2:$J$384,'PO Ledger'!$F$2:$F$384,$A44,'PO Ledger'!$A$2:$A$384,$B44,'PO Ledger'!$D$2:$D$384,$B$5)</f>
        <v/>
      </c>
      <c r="F44" s="7">
        <f>SUMIFS('PO Ledger'!$L$2:$L$384,'PO Ledger'!$F$2:$F$384,$A44,'PO Ledger'!$A$2:$A$384,$B44,'PO Ledger'!$D$2:$D$384,$B$5)</f>
        <v/>
      </c>
      <c r="G44">
        <f>VLOOKUP($A44,$A$9:$D$16,3,0)</f>
        <v/>
      </c>
      <c r="H44" s="7">
        <f>IF(G44&gt;0,F44/G44,E44)</f>
        <v/>
      </c>
      <c r="I44" s="9">
        <f>IF(D44&gt;0,H44/D44,"")</f>
        <v/>
      </c>
      <c r="J44" s="7">
        <f>MAX(0,F44-D44*G44)</f>
        <v/>
      </c>
    </row>
    <row r="45">
      <c r="A45" t="inlineStr">
        <is>
          <t>Telur Omega</t>
        </is>
      </c>
      <c r="B45" t="inlineStr">
        <is>
          <t>2026-07</t>
        </is>
      </c>
      <c r="C45" s="7">
        <f>SUMIFS('Sales Ledger'!$E$2:$E$834,'Sales Ledger'!$A$2:$A$834,$A45,'Sales Ledger'!$C$2:$C$834,$B45,'Sales Ledger'!$D$2:$D$834,$B$5)</f>
        <v/>
      </c>
      <c r="D45" s="7">
        <f>SUMIFS('Sales Ledger'!$G$2:$G$834,'Sales Ledger'!$A$2:$A$834,$A45,'Sales Ledger'!$C$2:$C$834,$B45,'Sales Ledger'!$D$2:$D$834,$B$5)</f>
        <v/>
      </c>
      <c r="E45" s="7">
        <f>SUMIFS('PO Ledger'!$J$2:$J$384,'PO Ledger'!$F$2:$F$384,$A45,'PO Ledger'!$A$2:$A$384,$B45,'PO Ledger'!$D$2:$D$384,$B$5)</f>
        <v/>
      </c>
      <c r="F45" s="7">
        <f>SUMIFS('PO Ledger'!$L$2:$L$384,'PO Ledger'!$F$2:$F$384,$A45,'PO Ledger'!$A$2:$A$384,$B45,'PO Ledger'!$D$2:$D$384,$B$5)</f>
        <v/>
      </c>
      <c r="G45">
        <f>VLOOKUP($A45,$A$9:$D$16,3,0)</f>
        <v/>
      </c>
      <c r="H45" s="7">
        <f>IF(G45&gt;0,F45/G45,E45)</f>
        <v/>
      </c>
      <c r="I45" s="9">
        <f>IF(D45&gt;0,H45/D45,"")</f>
        <v/>
      </c>
      <c r="J45" s="7">
        <f>MAX(0,F45-D45*G45)</f>
        <v/>
      </c>
    </row>
    <row r="46">
      <c r="A46" t="inlineStr">
        <is>
          <t>Burnt Cheesecake</t>
        </is>
      </c>
      <c r="B46" t="inlineStr">
        <is>
          <t>2026-04</t>
        </is>
      </c>
      <c r="C46" s="7">
        <f>SUMIFS('Sales Ledger'!$E$2:$E$834,'Sales Ledger'!$A$2:$A$834,$A46,'Sales Ledger'!$C$2:$C$834,$B46,'Sales Ledger'!$D$2:$D$834,$B$5)</f>
        <v/>
      </c>
      <c r="D46" s="7">
        <f>SUMIFS('Sales Ledger'!$G$2:$G$834,'Sales Ledger'!$A$2:$A$834,$A46,'Sales Ledger'!$C$2:$C$834,$B46,'Sales Ledger'!$D$2:$D$834,$B$5)</f>
        <v/>
      </c>
      <c r="E46" s="7">
        <f>SUMIFS('PO Ledger'!$J$2:$J$384,'PO Ledger'!$F$2:$F$384,$A46,'PO Ledger'!$A$2:$A$384,$B46,'PO Ledger'!$D$2:$D$384,$B$5)</f>
        <v/>
      </c>
      <c r="F46" s="7">
        <f>SUMIFS('PO Ledger'!$L$2:$L$384,'PO Ledger'!$F$2:$F$384,$A46,'PO Ledger'!$A$2:$A$384,$B46,'PO Ledger'!$D$2:$D$384,$B$5)</f>
        <v/>
      </c>
      <c r="G46">
        <f>VLOOKUP($A46,$A$9:$D$16,3,0)</f>
        <v/>
      </c>
      <c r="H46" s="7">
        <f>IF(G46&gt;0,F46/G46,E46)</f>
        <v/>
      </c>
      <c r="I46" s="9">
        <f>IF(D46&gt;0,H46/D46,"")</f>
        <v/>
      </c>
      <c r="J46" s="7">
        <f>MAX(0,F46-D46*G46)</f>
        <v/>
      </c>
    </row>
    <row r="47">
      <c r="A47" t="inlineStr">
        <is>
          <t>Burnt Cheesecake</t>
        </is>
      </c>
      <c r="B47" t="inlineStr">
        <is>
          <t>2026-05</t>
        </is>
      </c>
      <c r="C47" s="7">
        <f>SUMIFS('Sales Ledger'!$E$2:$E$834,'Sales Ledger'!$A$2:$A$834,$A47,'Sales Ledger'!$C$2:$C$834,$B47,'Sales Ledger'!$D$2:$D$834,$B$5)</f>
        <v/>
      </c>
      <c r="D47" s="7">
        <f>SUMIFS('Sales Ledger'!$G$2:$G$834,'Sales Ledger'!$A$2:$A$834,$A47,'Sales Ledger'!$C$2:$C$834,$B47,'Sales Ledger'!$D$2:$D$834,$B$5)</f>
        <v/>
      </c>
      <c r="E47" s="7">
        <f>SUMIFS('PO Ledger'!$J$2:$J$384,'PO Ledger'!$F$2:$F$384,$A47,'PO Ledger'!$A$2:$A$384,$B47,'PO Ledger'!$D$2:$D$384,$B$5)</f>
        <v/>
      </c>
      <c r="F47" s="7">
        <f>SUMIFS('PO Ledger'!$L$2:$L$384,'PO Ledger'!$F$2:$F$384,$A47,'PO Ledger'!$A$2:$A$384,$B47,'PO Ledger'!$D$2:$D$384,$B$5)</f>
        <v/>
      </c>
      <c r="G47">
        <f>VLOOKUP($A47,$A$9:$D$16,3,0)</f>
        <v/>
      </c>
      <c r="H47" s="7">
        <f>IF(G47&gt;0,F47/G47,E47)</f>
        <v/>
      </c>
      <c r="I47" s="9">
        <f>IF(D47&gt;0,H47/D47,"")</f>
        <v/>
      </c>
      <c r="J47" s="7">
        <f>MAX(0,F47-D47*G47)</f>
        <v/>
      </c>
    </row>
    <row r="48">
      <c r="A48" t="inlineStr">
        <is>
          <t>Burnt Cheesecake</t>
        </is>
      </c>
      <c r="B48" t="inlineStr">
        <is>
          <t>2026-06</t>
        </is>
      </c>
      <c r="C48" s="7">
        <f>SUMIFS('Sales Ledger'!$E$2:$E$834,'Sales Ledger'!$A$2:$A$834,$A48,'Sales Ledger'!$C$2:$C$834,$B48,'Sales Ledger'!$D$2:$D$834,$B$5)</f>
        <v/>
      </c>
      <c r="D48" s="7">
        <f>SUMIFS('Sales Ledger'!$G$2:$G$834,'Sales Ledger'!$A$2:$A$834,$A48,'Sales Ledger'!$C$2:$C$834,$B48,'Sales Ledger'!$D$2:$D$834,$B$5)</f>
        <v/>
      </c>
      <c r="E48" s="7">
        <f>SUMIFS('PO Ledger'!$J$2:$J$384,'PO Ledger'!$F$2:$F$384,$A48,'PO Ledger'!$A$2:$A$384,$B48,'PO Ledger'!$D$2:$D$384,$B$5)</f>
        <v/>
      </c>
      <c r="F48" s="7">
        <f>SUMIFS('PO Ledger'!$L$2:$L$384,'PO Ledger'!$F$2:$F$384,$A48,'PO Ledger'!$A$2:$A$384,$B48,'PO Ledger'!$D$2:$D$384,$B$5)</f>
        <v/>
      </c>
      <c r="G48">
        <f>VLOOKUP($A48,$A$9:$D$16,3,0)</f>
        <v/>
      </c>
      <c r="H48" s="7">
        <f>IF(G48&gt;0,F48/G48,E48)</f>
        <v/>
      </c>
      <c r="I48" s="9">
        <f>IF(D48&gt;0,H48/D48,"")</f>
        <v/>
      </c>
      <c r="J48" s="7">
        <f>MAX(0,F48-D48*G48)</f>
        <v/>
      </c>
    </row>
    <row r="49">
      <c r="A49" t="inlineStr">
        <is>
          <t>Burnt Cheesecake</t>
        </is>
      </c>
      <c r="B49" t="inlineStr">
        <is>
          <t>2026-07</t>
        </is>
      </c>
      <c r="C49" s="7">
        <f>SUMIFS('Sales Ledger'!$E$2:$E$834,'Sales Ledger'!$A$2:$A$834,$A49,'Sales Ledger'!$C$2:$C$834,$B49,'Sales Ledger'!$D$2:$D$834,$B$5)</f>
        <v/>
      </c>
      <c r="D49" s="7">
        <f>SUMIFS('Sales Ledger'!$G$2:$G$834,'Sales Ledger'!$A$2:$A$834,$A49,'Sales Ledger'!$C$2:$C$834,$B49,'Sales Ledger'!$D$2:$D$834,$B$5)</f>
        <v/>
      </c>
      <c r="E49" s="7">
        <f>SUMIFS('PO Ledger'!$J$2:$J$384,'PO Ledger'!$F$2:$F$384,$A49,'PO Ledger'!$A$2:$A$384,$B49,'PO Ledger'!$D$2:$D$384,$B$5)</f>
        <v/>
      </c>
      <c r="F49" s="7">
        <f>SUMIFS('PO Ledger'!$L$2:$L$384,'PO Ledger'!$F$2:$F$384,$A49,'PO Ledger'!$A$2:$A$384,$B49,'PO Ledger'!$D$2:$D$384,$B$5)</f>
        <v/>
      </c>
      <c r="G49">
        <f>VLOOKUP($A49,$A$9:$D$16,3,0)</f>
        <v/>
      </c>
      <c r="H49" s="7">
        <f>IF(G49&gt;0,F49/G49,E49)</f>
        <v/>
      </c>
      <c r="I49" s="9">
        <f>IF(D49&gt;0,H49/D49,"")</f>
        <v/>
      </c>
      <c r="J49" s="7">
        <f>MAX(0,F49-D49*G49)</f>
        <v/>
      </c>
    </row>
    <row r="50">
      <c r="A50" t="inlineStr">
        <is>
          <t>Salted Croissant</t>
        </is>
      </c>
      <c r="B50" t="inlineStr">
        <is>
          <t>2026-04</t>
        </is>
      </c>
      <c r="C50" s="7">
        <f>SUMIFS('Sales Ledger'!$E$2:$E$834,'Sales Ledger'!$A$2:$A$834,$A50,'Sales Ledger'!$C$2:$C$834,$B50,'Sales Ledger'!$D$2:$D$834,$B$5)</f>
        <v/>
      </c>
      <c r="D50" s="7">
        <f>SUMIFS('Sales Ledger'!$G$2:$G$834,'Sales Ledger'!$A$2:$A$834,$A50,'Sales Ledger'!$C$2:$C$834,$B50,'Sales Ledger'!$D$2:$D$834,$B$5)</f>
        <v/>
      </c>
      <c r="E50" s="7">
        <f>SUMIFS('PO Ledger'!$J$2:$J$384,'PO Ledger'!$F$2:$F$384,$A50,'PO Ledger'!$A$2:$A$384,$B50,'PO Ledger'!$D$2:$D$384,$B$5)</f>
        <v/>
      </c>
      <c r="F50" s="7">
        <f>SUMIFS('PO Ledger'!$L$2:$L$384,'PO Ledger'!$F$2:$F$384,$A50,'PO Ledger'!$A$2:$A$384,$B50,'PO Ledger'!$D$2:$D$384,$B$5)</f>
        <v/>
      </c>
      <c r="G50">
        <f>VLOOKUP($A50,$A$9:$D$16,3,0)</f>
        <v/>
      </c>
      <c r="H50" s="7">
        <f>IF(G50&gt;0,F50/G50,E50)</f>
        <v/>
      </c>
      <c r="I50" s="9">
        <f>IF(D50&gt;0,H50/D50,"")</f>
        <v/>
      </c>
      <c r="J50" s="7">
        <f>MAX(0,F50-D50*G50)</f>
        <v/>
      </c>
    </row>
    <row r="51">
      <c r="A51" t="inlineStr">
        <is>
          <t>Salted Croissant</t>
        </is>
      </c>
      <c r="B51" t="inlineStr">
        <is>
          <t>2026-05</t>
        </is>
      </c>
      <c r="C51" s="7">
        <f>SUMIFS('Sales Ledger'!$E$2:$E$834,'Sales Ledger'!$A$2:$A$834,$A51,'Sales Ledger'!$C$2:$C$834,$B51,'Sales Ledger'!$D$2:$D$834,$B$5)</f>
        <v/>
      </c>
      <c r="D51" s="7">
        <f>SUMIFS('Sales Ledger'!$G$2:$G$834,'Sales Ledger'!$A$2:$A$834,$A51,'Sales Ledger'!$C$2:$C$834,$B51,'Sales Ledger'!$D$2:$D$834,$B$5)</f>
        <v/>
      </c>
      <c r="E51" s="7">
        <f>SUMIFS('PO Ledger'!$J$2:$J$384,'PO Ledger'!$F$2:$F$384,$A51,'PO Ledger'!$A$2:$A$384,$B51,'PO Ledger'!$D$2:$D$384,$B$5)</f>
        <v/>
      </c>
      <c r="F51" s="7">
        <f>SUMIFS('PO Ledger'!$L$2:$L$384,'PO Ledger'!$F$2:$F$384,$A51,'PO Ledger'!$A$2:$A$384,$B51,'PO Ledger'!$D$2:$D$384,$B$5)</f>
        <v/>
      </c>
      <c r="G51">
        <f>VLOOKUP($A51,$A$9:$D$16,3,0)</f>
        <v/>
      </c>
      <c r="H51" s="7">
        <f>IF(G51&gt;0,F51/G51,E51)</f>
        <v/>
      </c>
      <c r="I51" s="9">
        <f>IF(D51&gt;0,H51/D51,"")</f>
        <v/>
      </c>
      <c r="J51" s="7">
        <f>MAX(0,F51-D51*G51)</f>
        <v/>
      </c>
    </row>
    <row r="52">
      <c r="A52" t="inlineStr">
        <is>
          <t>Salted Croissant</t>
        </is>
      </c>
      <c r="B52" t="inlineStr">
        <is>
          <t>2026-06</t>
        </is>
      </c>
      <c r="C52" s="7">
        <f>SUMIFS('Sales Ledger'!$E$2:$E$834,'Sales Ledger'!$A$2:$A$834,$A52,'Sales Ledger'!$C$2:$C$834,$B52,'Sales Ledger'!$D$2:$D$834,$B$5)</f>
        <v/>
      </c>
      <c r="D52" s="7">
        <f>SUMIFS('Sales Ledger'!$G$2:$G$834,'Sales Ledger'!$A$2:$A$834,$A52,'Sales Ledger'!$C$2:$C$834,$B52,'Sales Ledger'!$D$2:$D$834,$B$5)</f>
        <v/>
      </c>
      <c r="E52" s="7">
        <f>SUMIFS('PO Ledger'!$J$2:$J$384,'PO Ledger'!$F$2:$F$384,$A52,'PO Ledger'!$A$2:$A$384,$B52,'PO Ledger'!$D$2:$D$384,$B$5)</f>
        <v/>
      </c>
      <c r="F52" s="7">
        <f>SUMIFS('PO Ledger'!$L$2:$L$384,'PO Ledger'!$F$2:$F$384,$A52,'PO Ledger'!$A$2:$A$384,$B52,'PO Ledger'!$D$2:$D$384,$B$5)</f>
        <v/>
      </c>
      <c r="G52">
        <f>VLOOKUP($A52,$A$9:$D$16,3,0)</f>
        <v/>
      </c>
      <c r="H52" s="7">
        <f>IF(G52&gt;0,F52/G52,E52)</f>
        <v/>
      </c>
      <c r="I52" s="9">
        <f>IF(D52&gt;0,H52/D52,"")</f>
        <v/>
      </c>
      <c r="J52" s="7">
        <f>MAX(0,F52-D52*G52)</f>
        <v/>
      </c>
    </row>
    <row r="53">
      <c r="A53" t="inlineStr">
        <is>
          <t>Salted Croissant</t>
        </is>
      </c>
      <c r="B53" t="inlineStr">
        <is>
          <t>2026-07</t>
        </is>
      </c>
      <c r="C53" s="7">
        <f>SUMIFS('Sales Ledger'!$E$2:$E$834,'Sales Ledger'!$A$2:$A$834,$A53,'Sales Ledger'!$C$2:$C$834,$B53,'Sales Ledger'!$D$2:$D$834,$B$5)</f>
        <v/>
      </c>
      <c r="D53" s="7">
        <f>SUMIFS('Sales Ledger'!$G$2:$G$834,'Sales Ledger'!$A$2:$A$834,$A53,'Sales Ledger'!$C$2:$C$834,$B53,'Sales Ledger'!$D$2:$D$834,$B$5)</f>
        <v/>
      </c>
      <c r="E53" s="7">
        <f>SUMIFS('PO Ledger'!$J$2:$J$384,'PO Ledger'!$F$2:$F$384,$A53,'PO Ledger'!$A$2:$A$384,$B53,'PO Ledger'!$D$2:$D$384,$B$5)</f>
        <v/>
      </c>
      <c r="F53" s="7">
        <f>SUMIFS('PO Ledger'!$L$2:$L$384,'PO Ledger'!$F$2:$F$384,$A53,'PO Ledger'!$A$2:$A$384,$B53,'PO Ledger'!$D$2:$D$384,$B$5)</f>
        <v/>
      </c>
      <c r="G53">
        <f>VLOOKUP($A53,$A$9:$D$16,3,0)</f>
        <v/>
      </c>
      <c r="H53" s="7">
        <f>IF(G53&gt;0,F53/G53,E53)</f>
        <v/>
      </c>
      <c r="I53" s="9">
        <f>IF(D53&gt;0,H53/D53,"")</f>
        <v/>
      </c>
      <c r="J53" s="7">
        <f>MAX(0,F53-D53*G53)</f>
        <v/>
      </c>
    </row>
    <row r="54">
      <c r="A54" t="inlineStr">
        <is>
          <t>Udang</t>
        </is>
      </c>
      <c r="B54" t="inlineStr">
        <is>
          <t>2026-04</t>
        </is>
      </c>
      <c r="C54" s="7">
        <f>SUMIFS('Sales Ledger'!$E$2:$E$834,'Sales Ledger'!$A$2:$A$834,$A54,'Sales Ledger'!$C$2:$C$834,$B54,'Sales Ledger'!$D$2:$D$834,$B$5)</f>
        <v/>
      </c>
      <c r="D54" s="7">
        <f>SUMIFS('Sales Ledger'!$G$2:$G$834,'Sales Ledger'!$A$2:$A$834,$A54,'Sales Ledger'!$C$2:$C$834,$B54,'Sales Ledger'!$D$2:$D$834,$B$5)</f>
        <v/>
      </c>
      <c r="E54" s="7">
        <f>SUMIFS('PO Ledger'!$J$2:$J$384,'PO Ledger'!$F$2:$F$384,$A54,'PO Ledger'!$A$2:$A$384,$B54,'PO Ledger'!$D$2:$D$384,$B$5)</f>
        <v/>
      </c>
      <c r="F54" s="7">
        <f>SUMIFS('PO Ledger'!$L$2:$L$384,'PO Ledger'!$F$2:$F$384,$A54,'PO Ledger'!$A$2:$A$384,$B54,'PO Ledger'!$D$2:$D$384,$B$5)</f>
        <v/>
      </c>
      <c r="G54">
        <f>VLOOKUP($A54,$A$9:$D$16,3,0)</f>
        <v/>
      </c>
      <c r="H54" s="7">
        <f>IF(G54&gt;0,F54/G54,E54)</f>
        <v/>
      </c>
      <c r="I54" s="9">
        <f>IF(D54&gt;0,H54/D54,"")</f>
        <v/>
      </c>
      <c r="J54" s="7">
        <f>MAX(0,F54-D54*G54)</f>
        <v/>
      </c>
    </row>
    <row r="55">
      <c r="A55" t="inlineStr">
        <is>
          <t>Udang</t>
        </is>
      </c>
      <c r="B55" t="inlineStr">
        <is>
          <t>2026-05</t>
        </is>
      </c>
      <c r="C55" s="7">
        <f>SUMIFS('Sales Ledger'!$E$2:$E$834,'Sales Ledger'!$A$2:$A$834,$A55,'Sales Ledger'!$C$2:$C$834,$B55,'Sales Ledger'!$D$2:$D$834,$B$5)</f>
        <v/>
      </c>
      <c r="D55" s="7">
        <f>SUMIFS('Sales Ledger'!$G$2:$G$834,'Sales Ledger'!$A$2:$A$834,$A55,'Sales Ledger'!$C$2:$C$834,$B55,'Sales Ledger'!$D$2:$D$834,$B$5)</f>
        <v/>
      </c>
      <c r="E55" s="7">
        <f>SUMIFS('PO Ledger'!$J$2:$J$384,'PO Ledger'!$F$2:$F$384,$A55,'PO Ledger'!$A$2:$A$384,$B55,'PO Ledger'!$D$2:$D$384,$B$5)</f>
        <v/>
      </c>
      <c r="F55" s="7">
        <f>SUMIFS('PO Ledger'!$L$2:$L$384,'PO Ledger'!$F$2:$F$384,$A55,'PO Ledger'!$A$2:$A$384,$B55,'PO Ledger'!$D$2:$D$384,$B$5)</f>
        <v/>
      </c>
      <c r="G55">
        <f>VLOOKUP($A55,$A$9:$D$16,3,0)</f>
        <v/>
      </c>
      <c r="H55" s="7">
        <f>IF(G55&gt;0,F55/G55,E55)</f>
        <v/>
      </c>
      <c r="I55" s="9">
        <f>IF(D55&gt;0,H55/D55,"")</f>
        <v/>
      </c>
      <c r="J55" s="7">
        <f>MAX(0,F55-D55*G55)</f>
        <v/>
      </c>
    </row>
    <row r="56">
      <c r="A56" t="inlineStr">
        <is>
          <t>Udang</t>
        </is>
      </c>
      <c r="B56" t="inlineStr">
        <is>
          <t>2026-06</t>
        </is>
      </c>
      <c r="C56" s="7">
        <f>SUMIFS('Sales Ledger'!$E$2:$E$834,'Sales Ledger'!$A$2:$A$834,$A56,'Sales Ledger'!$C$2:$C$834,$B56,'Sales Ledger'!$D$2:$D$834,$B$5)</f>
        <v/>
      </c>
      <c r="D56" s="7">
        <f>SUMIFS('Sales Ledger'!$G$2:$G$834,'Sales Ledger'!$A$2:$A$834,$A56,'Sales Ledger'!$C$2:$C$834,$B56,'Sales Ledger'!$D$2:$D$834,$B$5)</f>
        <v/>
      </c>
      <c r="E56" s="7">
        <f>SUMIFS('PO Ledger'!$J$2:$J$384,'PO Ledger'!$F$2:$F$384,$A56,'PO Ledger'!$A$2:$A$384,$B56,'PO Ledger'!$D$2:$D$384,$B$5)</f>
        <v/>
      </c>
      <c r="F56" s="7">
        <f>SUMIFS('PO Ledger'!$L$2:$L$384,'PO Ledger'!$F$2:$F$384,$A56,'PO Ledger'!$A$2:$A$384,$B56,'PO Ledger'!$D$2:$D$384,$B$5)</f>
        <v/>
      </c>
      <c r="G56">
        <f>VLOOKUP($A56,$A$9:$D$16,3,0)</f>
        <v/>
      </c>
      <c r="H56" s="7">
        <f>IF(G56&gt;0,F56/G56,E56)</f>
        <v/>
      </c>
      <c r="I56" s="9">
        <f>IF(D56&gt;0,H56/D56,"")</f>
        <v/>
      </c>
      <c r="J56" s="7">
        <f>MAX(0,F56-D56*G56)</f>
        <v/>
      </c>
    </row>
    <row r="57">
      <c r="A57" t="inlineStr">
        <is>
          <t>Udang</t>
        </is>
      </c>
      <c r="B57" t="inlineStr">
        <is>
          <t>2026-07</t>
        </is>
      </c>
      <c r="C57" s="7">
        <f>SUMIFS('Sales Ledger'!$E$2:$E$834,'Sales Ledger'!$A$2:$A$834,$A57,'Sales Ledger'!$C$2:$C$834,$B57,'Sales Ledger'!$D$2:$D$834,$B$5)</f>
        <v/>
      </c>
      <c r="D57" s="7">
        <f>SUMIFS('Sales Ledger'!$G$2:$G$834,'Sales Ledger'!$A$2:$A$834,$A57,'Sales Ledger'!$C$2:$C$834,$B57,'Sales Ledger'!$D$2:$D$834,$B$5)</f>
        <v/>
      </c>
      <c r="E57" s="7">
        <f>SUMIFS('PO Ledger'!$J$2:$J$384,'PO Ledger'!$F$2:$F$384,$A57,'PO Ledger'!$A$2:$A$384,$B57,'PO Ledger'!$D$2:$D$384,$B$5)</f>
        <v/>
      </c>
      <c r="F57" s="7">
        <f>SUMIFS('PO Ledger'!$L$2:$L$384,'PO Ledger'!$F$2:$F$384,$A57,'PO Ledger'!$A$2:$A$384,$B57,'PO Ledger'!$D$2:$D$384,$B$5)</f>
        <v/>
      </c>
      <c r="G57">
        <f>VLOOKUP($A57,$A$9:$D$16,3,0)</f>
        <v/>
      </c>
      <c r="H57" s="7">
        <f>IF(G57&gt;0,F57/G57,E57)</f>
        <v/>
      </c>
      <c r="I57" s="9">
        <f>IF(D57&gt;0,H57/D57,"")</f>
        <v/>
      </c>
      <c r="J57" s="7">
        <f>MAX(0,F57-D57*G57)</f>
        <v/>
      </c>
    </row>
    <row r="58">
      <c r="A58" t="inlineStr">
        <is>
          <t>Pull Lamb</t>
        </is>
      </c>
      <c r="B58" t="inlineStr">
        <is>
          <t>2026-04</t>
        </is>
      </c>
      <c r="C58" s="7">
        <f>SUMIFS('Sales Ledger'!$E$2:$E$834,'Sales Ledger'!$A$2:$A$834,$A58,'Sales Ledger'!$C$2:$C$834,$B58,'Sales Ledger'!$D$2:$D$834,$B$5)</f>
        <v/>
      </c>
      <c r="D58" s="7">
        <f>SUMIFS('Sales Ledger'!$G$2:$G$834,'Sales Ledger'!$A$2:$A$834,$A58,'Sales Ledger'!$C$2:$C$834,$B58,'Sales Ledger'!$D$2:$D$834,$B$5)</f>
        <v/>
      </c>
      <c r="E58" s="7">
        <f>SUMIFS('PO Ledger'!$J$2:$J$384,'PO Ledger'!$F$2:$F$384,$A58,'PO Ledger'!$A$2:$A$384,$B58,'PO Ledger'!$D$2:$D$384,$B$5)</f>
        <v/>
      </c>
      <c r="F58" s="7">
        <f>SUMIFS('PO Ledger'!$L$2:$L$384,'PO Ledger'!$F$2:$F$384,$A58,'PO Ledger'!$A$2:$A$384,$B58,'PO Ledger'!$D$2:$D$384,$B$5)</f>
        <v/>
      </c>
      <c r="G58">
        <f>VLOOKUP($A58,$A$9:$D$16,3,0)</f>
        <v/>
      </c>
      <c r="H58" s="7">
        <f>IF(G58&gt;0,F58/G58,E58)</f>
        <v/>
      </c>
      <c r="I58" s="9">
        <f>IF(D58&gt;0,H58/D58,"")</f>
        <v/>
      </c>
      <c r="J58" s="7">
        <f>MAX(0,F58-D58*G58)</f>
        <v/>
      </c>
    </row>
    <row r="59">
      <c r="A59" t="inlineStr">
        <is>
          <t>Pull Lamb</t>
        </is>
      </c>
      <c r="B59" t="inlineStr">
        <is>
          <t>2026-05</t>
        </is>
      </c>
      <c r="C59" s="7">
        <f>SUMIFS('Sales Ledger'!$E$2:$E$834,'Sales Ledger'!$A$2:$A$834,$A59,'Sales Ledger'!$C$2:$C$834,$B59,'Sales Ledger'!$D$2:$D$834,$B$5)</f>
        <v/>
      </c>
      <c r="D59" s="7">
        <f>SUMIFS('Sales Ledger'!$G$2:$G$834,'Sales Ledger'!$A$2:$A$834,$A59,'Sales Ledger'!$C$2:$C$834,$B59,'Sales Ledger'!$D$2:$D$834,$B$5)</f>
        <v/>
      </c>
      <c r="E59" s="7">
        <f>SUMIFS('PO Ledger'!$J$2:$J$384,'PO Ledger'!$F$2:$F$384,$A59,'PO Ledger'!$A$2:$A$384,$B59,'PO Ledger'!$D$2:$D$384,$B$5)</f>
        <v/>
      </c>
      <c r="F59" s="7">
        <f>SUMIFS('PO Ledger'!$L$2:$L$384,'PO Ledger'!$F$2:$F$384,$A59,'PO Ledger'!$A$2:$A$384,$B59,'PO Ledger'!$D$2:$D$384,$B$5)</f>
        <v/>
      </c>
      <c r="G59">
        <f>VLOOKUP($A59,$A$9:$D$16,3,0)</f>
        <v/>
      </c>
      <c r="H59" s="7">
        <f>IF(G59&gt;0,F59/G59,E59)</f>
        <v/>
      </c>
      <c r="I59" s="9">
        <f>IF(D59&gt;0,H59/D59,"")</f>
        <v/>
      </c>
      <c r="J59" s="7">
        <f>MAX(0,F59-D59*G59)</f>
        <v/>
      </c>
    </row>
    <row r="60">
      <c r="A60" t="inlineStr">
        <is>
          <t>Pull Lamb</t>
        </is>
      </c>
      <c r="B60" t="inlineStr">
        <is>
          <t>2026-06</t>
        </is>
      </c>
      <c r="C60" s="7">
        <f>SUMIFS('Sales Ledger'!$E$2:$E$834,'Sales Ledger'!$A$2:$A$834,$A60,'Sales Ledger'!$C$2:$C$834,$B60,'Sales Ledger'!$D$2:$D$834,$B$5)</f>
        <v/>
      </c>
      <c r="D60" s="7">
        <f>SUMIFS('Sales Ledger'!$G$2:$G$834,'Sales Ledger'!$A$2:$A$834,$A60,'Sales Ledger'!$C$2:$C$834,$B60,'Sales Ledger'!$D$2:$D$834,$B$5)</f>
        <v/>
      </c>
      <c r="E60" s="7">
        <f>SUMIFS('PO Ledger'!$J$2:$J$384,'PO Ledger'!$F$2:$F$384,$A60,'PO Ledger'!$A$2:$A$384,$B60,'PO Ledger'!$D$2:$D$384,$B$5)</f>
        <v/>
      </c>
      <c r="F60" s="7">
        <f>SUMIFS('PO Ledger'!$L$2:$L$384,'PO Ledger'!$F$2:$F$384,$A60,'PO Ledger'!$A$2:$A$384,$B60,'PO Ledger'!$D$2:$D$384,$B$5)</f>
        <v/>
      </c>
      <c r="G60">
        <f>VLOOKUP($A60,$A$9:$D$16,3,0)</f>
        <v/>
      </c>
      <c r="H60" s="7">
        <f>IF(G60&gt;0,F60/G60,E60)</f>
        <v/>
      </c>
      <c r="I60" s="9">
        <f>IF(D60&gt;0,H60/D60,"")</f>
        <v/>
      </c>
      <c r="J60" s="7">
        <f>MAX(0,F60-D60*G60)</f>
        <v/>
      </c>
    </row>
    <row r="61">
      <c r="A61" t="inlineStr">
        <is>
          <t>Pull Lamb</t>
        </is>
      </c>
      <c r="B61" t="inlineStr">
        <is>
          <t>2026-07</t>
        </is>
      </c>
      <c r="C61" s="7">
        <f>SUMIFS('Sales Ledger'!$E$2:$E$834,'Sales Ledger'!$A$2:$A$834,$A61,'Sales Ledger'!$C$2:$C$834,$B61,'Sales Ledger'!$D$2:$D$834,$B$5)</f>
        <v/>
      </c>
      <c r="D61" s="7">
        <f>SUMIFS('Sales Ledger'!$G$2:$G$834,'Sales Ledger'!$A$2:$A$834,$A61,'Sales Ledger'!$C$2:$C$834,$B61,'Sales Ledger'!$D$2:$D$834,$B$5)</f>
        <v/>
      </c>
      <c r="E61" s="7">
        <f>SUMIFS('PO Ledger'!$J$2:$J$384,'PO Ledger'!$F$2:$F$384,$A61,'PO Ledger'!$A$2:$A$384,$B61,'PO Ledger'!$D$2:$D$384,$B$5)</f>
        <v/>
      </c>
      <c r="F61" s="7">
        <f>SUMIFS('PO Ledger'!$L$2:$L$384,'PO Ledger'!$F$2:$F$384,$A61,'PO Ledger'!$A$2:$A$384,$B61,'PO Ledger'!$D$2:$D$384,$B$5)</f>
        <v/>
      </c>
      <c r="G61">
        <f>VLOOKUP($A61,$A$9:$D$16,3,0)</f>
        <v/>
      </c>
      <c r="H61" s="7">
        <f>IF(G61&gt;0,F61/G61,E61)</f>
        <v/>
      </c>
      <c r="I61" s="9">
        <f>IF(D61&gt;0,H61/D61,"")</f>
        <v/>
      </c>
      <c r="J61" s="7">
        <f>MAX(0,F61-D61*G61)</f>
        <v/>
      </c>
    </row>
    <row r="62"/>
    <row r="63">
      <c r="A63" s="3" t="inlineStr">
        <is>
          <t>4. CUMULATIVE APR-JUL (respects OUTLET FILTER)</t>
        </is>
      </c>
    </row>
    <row r="64">
      <c r="A64" s="4" t="inlineStr">
        <is>
          <t>Ingredient</t>
        </is>
      </c>
      <c r="B64" s="4" t="inlineStr">
        <is>
          <t>Expected</t>
        </is>
      </c>
      <c r="C64" s="4" t="inlineStr">
        <is>
          <t>Purchased @true</t>
        </is>
      </c>
      <c r="D64" s="4" t="inlineStr">
        <is>
          <t>Spend RM</t>
        </is>
      </c>
      <c r="E64" s="4" t="inlineStr">
        <is>
          <t>Ratio</t>
        </is>
      </c>
      <c r="F64" s="4" t="inlineStr">
        <is>
          <t>Excess RM</t>
        </is>
      </c>
      <c r="G64" s="4" t="inlineStr">
        <is>
          <t>Excess/month</t>
        </is>
      </c>
    </row>
    <row r="65">
      <c r="A65" t="inlineStr">
        <is>
          <t>Home Blend (Collective)</t>
        </is>
      </c>
      <c r="B65" s="7">
        <f>SUMIFS($D$30:$D$61,$A$30:$A$61,$A65)</f>
        <v/>
      </c>
      <c r="C65" s="7">
        <f>SUMIFS($H$30:$H$61,$A$30:$A$61,$A65)</f>
        <v/>
      </c>
      <c r="D65" s="7">
        <f>SUMIFS($F$30:$F$61,$A$30:$A$61,$A65)</f>
        <v/>
      </c>
      <c r="E65" s="9">
        <f>IF(B65&gt;0,C65/B65,"")</f>
        <v/>
      </c>
      <c r="F65" s="7">
        <f>SUMIFS($J$30:$J$61,$A$30:$A$61,$A65)</f>
        <v/>
      </c>
      <c r="G65" s="7">
        <f>F65/4</f>
        <v/>
      </c>
    </row>
    <row r="66">
      <c r="A66" t="inlineStr">
        <is>
          <t>Fresh Milk</t>
        </is>
      </c>
      <c r="B66" s="7">
        <f>SUMIFS($D$30:$D$61,$A$30:$A$61,$A66)</f>
        <v/>
      </c>
      <c r="C66" s="7">
        <f>SUMIFS($H$30:$H$61,$A$30:$A$61,$A66)</f>
        <v/>
      </c>
      <c r="D66" s="7">
        <f>SUMIFS($F$30:$F$61,$A$30:$A$61,$A66)</f>
        <v/>
      </c>
      <c r="E66" s="9">
        <f>IF(B66&gt;0,C66/B66,"")</f>
        <v/>
      </c>
      <c r="F66" s="7">
        <f>SUMIFS($J$30:$J$61,$A$30:$A$61,$A66)</f>
        <v/>
      </c>
      <c r="G66" s="7">
        <f>F66/4</f>
        <v/>
      </c>
    </row>
    <row r="67">
      <c r="A67" t="inlineStr">
        <is>
          <t>Brioche Sandwich</t>
        </is>
      </c>
      <c r="B67" s="7">
        <f>SUMIFS($D$30:$D$61,$A$30:$A$61,$A67)</f>
        <v/>
      </c>
      <c r="C67" s="7">
        <f>SUMIFS($H$30:$H$61,$A$30:$A$61,$A67)</f>
        <v/>
      </c>
      <c r="D67" s="7">
        <f>SUMIFS($F$30:$F$61,$A$30:$A$61,$A67)</f>
        <v/>
      </c>
      <c r="E67" s="9">
        <f>IF(B67&gt;0,C67/B67,"")</f>
        <v/>
      </c>
      <c r="F67" s="7">
        <f>SUMIFS($J$30:$J$61,$A$30:$A$61,$A67)</f>
        <v/>
      </c>
      <c r="G67" s="7">
        <f>F67/4</f>
        <v/>
      </c>
    </row>
    <row r="68">
      <c r="A68" t="inlineStr">
        <is>
          <t>Telur Omega</t>
        </is>
      </c>
      <c r="B68" s="7">
        <f>SUMIFS($D$30:$D$61,$A$30:$A$61,$A68)</f>
        <v/>
      </c>
      <c r="C68" s="7">
        <f>SUMIFS($H$30:$H$61,$A$30:$A$61,$A68)</f>
        <v/>
      </c>
      <c r="D68" s="7">
        <f>SUMIFS($F$30:$F$61,$A$30:$A$61,$A68)</f>
        <v/>
      </c>
      <c r="E68" s="9">
        <f>IF(B68&gt;0,C68/B68,"")</f>
        <v/>
      </c>
      <c r="F68" s="7">
        <f>SUMIFS($J$30:$J$61,$A$30:$A$61,$A68)</f>
        <v/>
      </c>
      <c r="G68" s="7">
        <f>F68/4</f>
        <v/>
      </c>
    </row>
    <row r="69">
      <c r="A69" t="inlineStr">
        <is>
          <t>Burnt Cheesecake</t>
        </is>
      </c>
      <c r="B69" s="7">
        <f>SUMIFS($D$30:$D$61,$A$30:$A$61,$A69)</f>
        <v/>
      </c>
      <c r="C69" s="7">
        <f>SUMIFS($H$30:$H$61,$A$30:$A$61,$A69)</f>
        <v/>
      </c>
      <c r="D69" s="7">
        <f>SUMIFS($F$30:$F$61,$A$30:$A$61,$A69)</f>
        <v/>
      </c>
      <c r="E69" s="9">
        <f>IF(B69&gt;0,C69/B69,"")</f>
        <v/>
      </c>
      <c r="F69" s="7">
        <f>SUMIFS($J$30:$J$61,$A$30:$A$61,$A69)</f>
        <v/>
      </c>
      <c r="G69" s="7">
        <f>F69/4</f>
        <v/>
      </c>
    </row>
    <row r="70">
      <c r="A70" t="inlineStr">
        <is>
          <t>Salted Croissant</t>
        </is>
      </c>
      <c r="B70" s="7">
        <f>SUMIFS($D$30:$D$61,$A$30:$A$61,$A70)</f>
        <v/>
      </c>
      <c r="C70" s="7">
        <f>SUMIFS($H$30:$H$61,$A$30:$A$61,$A70)</f>
        <v/>
      </c>
      <c r="D70" s="7">
        <f>SUMIFS($F$30:$F$61,$A$30:$A$61,$A70)</f>
        <v/>
      </c>
      <c r="E70" s="9">
        <f>IF(B70&gt;0,C70/B70,"")</f>
        <v/>
      </c>
      <c r="F70" s="7">
        <f>SUMIFS($J$30:$J$61,$A$30:$A$61,$A70)</f>
        <v/>
      </c>
      <c r="G70" s="7">
        <f>F70/4</f>
        <v/>
      </c>
    </row>
    <row r="71">
      <c r="A71" t="inlineStr">
        <is>
          <t>Udang</t>
        </is>
      </c>
      <c r="B71" s="7">
        <f>SUMIFS($D$30:$D$61,$A$30:$A$61,$A71)</f>
        <v/>
      </c>
      <c r="C71" s="7">
        <f>SUMIFS($H$30:$H$61,$A$30:$A$61,$A71)</f>
        <v/>
      </c>
      <c r="D71" s="7">
        <f>SUMIFS($F$30:$F$61,$A$30:$A$61,$A71)</f>
        <v/>
      </c>
      <c r="E71" s="9">
        <f>IF(B71&gt;0,C71/B71,"")</f>
        <v/>
      </c>
      <c r="F71" s="7">
        <f>SUMIFS($J$30:$J$61,$A$30:$A$61,$A71)</f>
        <v/>
      </c>
      <c r="G71" s="7">
        <f>F71/4</f>
        <v/>
      </c>
    </row>
    <row r="72">
      <c r="A72" t="inlineStr">
        <is>
          <t>Pull Lamb</t>
        </is>
      </c>
      <c r="B72" s="7">
        <f>SUMIFS($D$30:$D$61,$A$30:$A$61,$A72)</f>
        <v/>
      </c>
      <c r="C72" s="7">
        <f>SUMIFS($H$30:$H$61,$A$30:$A$61,$A72)</f>
        <v/>
      </c>
      <c r="D72" s="7">
        <f>SUMIFS($F$30:$F$61,$A$30:$A$61,$A72)</f>
        <v/>
      </c>
      <c r="E72" s="9">
        <f>IF(B72&gt;0,C72/B72,"")</f>
        <v/>
      </c>
      <c r="F72" s="7">
        <f>SUMIFS($J$30:$J$61,$A$30:$A$61,$A72)</f>
        <v/>
      </c>
      <c r="G72" s="7">
        <f>F72/4</f>
        <v/>
      </c>
    </row>
    <row r="73">
      <c r="A73" t="inlineStr">
        <is>
          <t>TOTAL</t>
        </is>
      </c>
      <c r="D73" s="7">
        <f>SUM(D65:D72)</f>
        <v/>
      </c>
      <c r="F73" s="7">
        <f>SUM(F65:F72)</f>
        <v/>
      </c>
      <c r="G73" s="7">
        <f>F73/4</f>
        <v/>
      </c>
    </row>
    <row r="74"/>
    <row r="75">
      <c r="A75" s="3" t="inlineStr">
        <is>
          <t>5. PER-OUTLET COMPARE (cumulative Apr-Jul ratio purchased@true / expected - fixed columns, ignores filter)</t>
        </is>
      </c>
    </row>
    <row r="76">
      <c r="A76" s="4" t="inlineStr">
        <is>
          <t>Ingredient</t>
        </is>
      </c>
      <c r="B76" s="4" t="inlineStr">
        <is>
          <t>PJ ratio</t>
        </is>
      </c>
      <c r="C76" s="4" t="inlineStr">
        <is>
          <t>SA ratio</t>
        </is>
      </c>
      <c r="D76" s="4" t="inlineStr">
        <is>
          <t>TAM ratio</t>
        </is>
      </c>
      <c r="E76" s="4" t="inlineStr">
        <is>
          <t>PJ excess RM</t>
        </is>
      </c>
      <c r="F76" s="4" t="inlineStr">
        <is>
          <t>SA excess RM</t>
        </is>
      </c>
      <c r="G76" s="4" t="inlineStr">
        <is>
          <t>TAM excess RM</t>
        </is>
      </c>
    </row>
    <row r="77">
      <c r="A77" t="inlineStr">
        <is>
          <t>Home Blend (Collective)</t>
        </is>
      </c>
      <c r="B77" s="9">
        <f>IF(SUMIFS('Sales Ledger'!$G$2:$G$834,'Sales Ledger'!$A$2:$A$834,$A77,'Sales Ledger'!$D$2:$D$834,"PJ")&gt;0,(SUMIFS('PO Ledger'!$L$2:$L$384,'PO Ledger'!$F$2:$F$384,$A77,'PO Ledger'!$D$2:$D$384,"PJ")/VLOOKUP($A77,$A$9:$D$16,3,0))/SUMIFS('Sales Ledger'!$G$2:$G$834,'Sales Ledger'!$A$2:$A$834,$A77,'Sales Ledger'!$D$2:$D$834,"PJ"),"")</f>
        <v/>
      </c>
      <c r="C77" s="9">
        <f>IF(SUMIFS('Sales Ledger'!$G$2:$G$834,'Sales Ledger'!$A$2:$A$834,$A77,'Sales Ledger'!$D$2:$D$834,"SA")&gt;0,(SUMIFS('PO Ledger'!$L$2:$L$384,'PO Ledger'!$F$2:$F$384,$A77,'PO Ledger'!$D$2:$D$384,"SA")/VLOOKUP($A77,$A$9:$D$16,3,0))/SUMIFS('Sales Ledger'!$G$2:$G$834,'Sales Ledger'!$A$2:$A$834,$A77,'Sales Ledger'!$D$2:$D$834,"SA"),"")</f>
        <v/>
      </c>
      <c r="D77" s="9">
        <f>IF(SUMIFS('Sales Ledger'!$G$2:$G$834,'Sales Ledger'!$A$2:$A$834,$A77,'Sales Ledger'!$D$2:$D$834,"TAM")&gt;0,(SUMIFS('PO Ledger'!$L$2:$L$384,'PO Ledger'!$F$2:$F$384,$A77,'PO Ledger'!$D$2:$D$384,"TAM")/VLOOKUP($A77,$A$9:$D$16,3,0))/SUMIFS('Sales Ledger'!$G$2:$G$834,'Sales Ledger'!$A$2:$A$834,$A77,'Sales Ledger'!$D$2:$D$834,"TAM"),"")</f>
        <v/>
      </c>
      <c r="E77" s="7">
        <f>MAX(0,SUMIFS('PO Ledger'!$L$2:$L$384,'PO Ledger'!$F$2:$F$384,$A77,'PO Ledger'!$D$2:$D$384,"PJ")-SUMIFS('Sales Ledger'!$G$2:$G$834,'Sales Ledger'!$A$2:$A$834,$A77,'Sales Ledger'!$D$2:$D$834,"PJ")*VLOOKUP($A77,$A$9:$D$16,3,0))</f>
        <v/>
      </c>
      <c r="F77" s="7">
        <f>MAX(0,SUMIFS('PO Ledger'!$L$2:$L$384,'PO Ledger'!$F$2:$F$384,$A77,'PO Ledger'!$D$2:$D$384,"SA")-SUMIFS('Sales Ledger'!$G$2:$G$834,'Sales Ledger'!$A$2:$A$834,$A77,'Sales Ledger'!$D$2:$D$834,"SA")*VLOOKUP($A77,$A$9:$D$16,3,0))</f>
        <v/>
      </c>
      <c r="G77" s="7">
        <f>MAX(0,SUMIFS('PO Ledger'!$L$2:$L$384,'PO Ledger'!$F$2:$F$384,$A77,'PO Ledger'!$D$2:$D$384,"TAM")-SUMIFS('Sales Ledger'!$G$2:$G$834,'Sales Ledger'!$A$2:$A$834,$A77,'Sales Ledger'!$D$2:$D$834,"TAM")*VLOOKUP($A77,$A$9:$D$16,3,0))</f>
        <v/>
      </c>
    </row>
    <row r="78">
      <c r="A78" t="inlineStr">
        <is>
          <t>Fresh Milk</t>
        </is>
      </c>
      <c r="B78" s="9">
        <f>IF(SUMIFS('Sales Ledger'!$G$2:$G$834,'Sales Ledger'!$A$2:$A$834,$A78,'Sales Ledger'!$D$2:$D$834,"PJ")&gt;0,(SUMIFS('PO Ledger'!$L$2:$L$384,'PO Ledger'!$F$2:$F$384,$A78,'PO Ledger'!$D$2:$D$384,"PJ")/VLOOKUP($A78,$A$9:$D$16,3,0))/SUMIFS('Sales Ledger'!$G$2:$G$834,'Sales Ledger'!$A$2:$A$834,$A78,'Sales Ledger'!$D$2:$D$834,"PJ"),"")</f>
        <v/>
      </c>
      <c r="C78" s="9">
        <f>IF(SUMIFS('Sales Ledger'!$G$2:$G$834,'Sales Ledger'!$A$2:$A$834,$A78,'Sales Ledger'!$D$2:$D$834,"SA")&gt;0,(SUMIFS('PO Ledger'!$L$2:$L$384,'PO Ledger'!$F$2:$F$384,$A78,'PO Ledger'!$D$2:$D$384,"SA")/VLOOKUP($A78,$A$9:$D$16,3,0))/SUMIFS('Sales Ledger'!$G$2:$G$834,'Sales Ledger'!$A$2:$A$834,$A78,'Sales Ledger'!$D$2:$D$834,"SA"),"")</f>
        <v/>
      </c>
      <c r="D78" s="9">
        <f>IF(SUMIFS('Sales Ledger'!$G$2:$G$834,'Sales Ledger'!$A$2:$A$834,$A78,'Sales Ledger'!$D$2:$D$834,"TAM")&gt;0,(SUMIFS('PO Ledger'!$L$2:$L$384,'PO Ledger'!$F$2:$F$384,$A78,'PO Ledger'!$D$2:$D$384,"TAM")/VLOOKUP($A78,$A$9:$D$16,3,0))/SUMIFS('Sales Ledger'!$G$2:$G$834,'Sales Ledger'!$A$2:$A$834,$A78,'Sales Ledger'!$D$2:$D$834,"TAM"),"")</f>
        <v/>
      </c>
      <c r="E78" s="7">
        <f>MAX(0,SUMIFS('PO Ledger'!$L$2:$L$384,'PO Ledger'!$F$2:$F$384,$A78,'PO Ledger'!$D$2:$D$384,"PJ")-SUMIFS('Sales Ledger'!$G$2:$G$834,'Sales Ledger'!$A$2:$A$834,$A78,'Sales Ledger'!$D$2:$D$834,"PJ")*VLOOKUP($A78,$A$9:$D$16,3,0))</f>
        <v/>
      </c>
      <c r="F78" s="7">
        <f>MAX(0,SUMIFS('PO Ledger'!$L$2:$L$384,'PO Ledger'!$F$2:$F$384,$A78,'PO Ledger'!$D$2:$D$384,"SA")-SUMIFS('Sales Ledger'!$G$2:$G$834,'Sales Ledger'!$A$2:$A$834,$A78,'Sales Ledger'!$D$2:$D$834,"SA")*VLOOKUP($A78,$A$9:$D$16,3,0))</f>
        <v/>
      </c>
      <c r="G78" s="7">
        <f>MAX(0,SUMIFS('PO Ledger'!$L$2:$L$384,'PO Ledger'!$F$2:$F$384,$A78,'PO Ledger'!$D$2:$D$384,"TAM")-SUMIFS('Sales Ledger'!$G$2:$G$834,'Sales Ledger'!$A$2:$A$834,$A78,'Sales Ledger'!$D$2:$D$834,"TAM")*VLOOKUP($A78,$A$9:$D$16,3,0))</f>
        <v/>
      </c>
    </row>
    <row r="79">
      <c r="A79" t="inlineStr">
        <is>
          <t>Brioche Sandwich</t>
        </is>
      </c>
      <c r="B79" s="9">
        <f>IF(SUMIFS('Sales Ledger'!$G$2:$G$834,'Sales Ledger'!$A$2:$A$834,$A79,'Sales Ledger'!$D$2:$D$834,"PJ")&gt;0,(SUMIFS('PO Ledger'!$L$2:$L$384,'PO Ledger'!$F$2:$F$384,$A79,'PO Ledger'!$D$2:$D$384,"PJ")/VLOOKUP($A79,$A$9:$D$16,3,0))/SUMIFS('Sales Ledger'!$G$2:$G$834,'Sales Ledger'!$A$2:$A$834,$A79,'Sales Ledger'!$D$2:$D$834,"PJ"),"")</f>
        <v/>
      </c>
      <c r="C79" s="9">
        <f>IF(SUMIFS('Sales Ledger'!$G$2:$G$834,'Sales Ledger'!$A$2:$A$834,$A79,'Sales Ledger'!$D$2:$D$834,"SA")&gt;0,(SUMIFS('PO Ledger'!$L$2:$L$384,'PO Ledger'!$F$2:$F$384,$A79,'PO Ledger'!$D$2:$D$384,"SA")/VLOOKUP($A79,$A$9:$D$16,3,0))/SUMIFS('Sales Ledger'!$G$2:$G$834,'Sales Ledger'!$A$2:$A$834,$A79,'Sales Ledger'!$D$2:$D$834,"SA"),"")</f>
        <v/>
      </c>
      <c r="D79" s="9">
        <f>IF(SUMIFS('Sales Ledger'!$G$2:$G$834,'Sales Ledger'!$A$2:$A$834,$A79,'Sales Ledger'!$D$2:$D$834,"TAM")&gt;0,(SUMIFS('PO Ledger'!$L$2:$L$384,'PO Ledger'!$F$2:$F$384,$A79,'PO Ledger'!$D$2:$D$384,"TAM")/VLOOKUP($A79,$A$9:$D$16,3,0))/SUMIFS('Sales Ledger'!$G$2:$G$834,'Sales Ledger'!$A$2:$A$834,$A79,'Sales Ledger'!$D$2:$D$834,"TAM"),"")</f>
        <v/>
      </c>
      <c r="E79" s="7">
        <f>MAX(0,SUMIFS('PO Ledger'!$L$2:$L$384,'PO Ledger'!$F$2:$F$384,$A79,'PO Ledger'!$D$2:$D$384,"PJ")-SUMIFS('Sales Ledger'!$G$2:$G$834,'Sales Ledger'!$A$2:$A$834,$A79,'Sales Ledger'!$D$2:$D$834,"PJ")*VLOOKUP($A79,$A$9:$D$16,3,0))</f>
        <v/>
      </c>
      <c r="F79" s="7">
        <f>MAX(0,SUMIFS('PO Ledger'!$L$2:$L$384,'PO Ledger'!$F$2:$F$384,$A79,'PO Ledger'!$D$2:$D$384,"SA")-SUMIFS('Sales Ledger'!$G$2:$G$834,'Sales Ledger'!$A$2:$A$834,$A79,'Sales Ledger'!$D$2:$D$834,"SA")*VLOOKUP($A79,$A$9:$D$16,3,0))</f>
        <v/>
      </c>
      <c r="G79" s="7">
        <f>MAX(0,SUMIFS('PO Ledger'!$L$2:$L$384,'PO Ledger'!$F$2:$F$384,$A79,'PO Ledger'!$D$2:$D$384,"TAM")-SUMIFS('Sales Ledger'!$G$2:$G$834,'Sales Ledger'!$A$2:$A$834,$A79,'Sales Ledger'!$D$2:$D$834,"TAM")*VLOOKUP($A79,$A$9:$D$16,3,0))</f>
        <v/>
      </c>
    </row>
    <row r="80">
      <c r="A80" t="inlineStr">
        <is>
          <t>Telur Omega</t>
        </is>
      </c>
      <c r="B80" s="9">
        <f>IF(SUMIFS('Sales Ledger'!$G$2:$G$834,'Sales Ledger'!$A$2:$A$834,$A80,'Sales Ledger'!$D$2:$D$834,"PJ")&gt;0,(SUMIFS('PO Ledger'!$L$2:$L$384,'PO Ledger'!$F$2:$F$384,$A80,'PO Ledger'!$D$2:$D$384,"PJ")/VLOOKUP($A80,$A$9:$D$16,3,0))/SUMIFS('Sales Ledger'!$G$2:$G$834,'Sales Ledger'!$A$2:$A$834,$A80,'Sales Ledger'!$D$2:$D$834,"PJ"),"")</f>
        <v/>
      </c>
      <c r="C80" s="9">
        <f>IF(SUMIFS('Sales Ledger'!$G$2:$G$834,'Sales Ledger'!$A$2:$A$834,$A80,'Sales Ledger'!$D$2:$D$834,"SA")&gt;0,(SUMIFS('PO Ledger'!$L$2:$L$384,'PO Ledger'!$F$2:$F$384,$A80,'PO Ledger'!$D$2:$D$384,"SA")/VLOOKUP($A80,$A$9:$D$16,3,0))/SUMIFS('Sales Ledger'!$G$2:$G$834,'Sales Ledger'!$A$2:$A$834,$A80,'Sales Ledger'!$D$2:$D$834,"SA"),"")</f>
        <v/>
      </c>
      <c r="D80" s="9">
        <f>IF(SUMIFS('Sales Ledger'!$G$2:$G$834,'Sales Ledger'!$A$2:$A$834,$A80,'Sales Ledger'!$D$2:$D$834,"TAM")&gt;0,(SUMIFS('PO Ledger'!$L$2:$L$384,'PO Ledger'!$F$2:$F$384,$A80,'PO Ledger'!$D$2:$D$384,"TAM")/VLOOKUP($A80,$A$9:$D$16,3,0))/SUMIFS('Sales Ledger'!$G$2:$G$834,'Sales Ledger'!$A$2:$A$834,$A80,'Sales Ledger'!$D$2:$D$834,"TAM"),"")</f>
        <v/>
      </c>
      <c r="E80" s="7">
        <f>MAX(0,SUMIFS('PO Ledger'!$L$2:$L$384,'PO Ledger'!$F$2:$F$384,$A80,'PO Ledger'!$D$2:$D$384,"PJ")-SUMIFS('Sales Ledger'!$G$2:$G$834,'Sales Ledger'!$A$2:$A$834,$A80,'Sales Ledger'!$D$2:$D$834,"PJ")*VLOOKUP($A80,$A$9:$D$16,3,0))</f>
        <v/>
      </c>
      <c r="F80" s="7">
        <f>MAX(0,SUMIFS('PO Ledger'!$L$2:$L$384,'PO Ledger'!$F$2:$F$384,$A80,'PO Ledger'!$D$2:$D$384,"SA")-SUMIFS('Sales Ledger'!$G$2:$G$834,'Sales Ledger'!$A$2:$A$834,$A80,'Sales Ledger'!$D$2:$D$834,"SA")*VLOOKUP($A80,$A$9:$D$16,3,0))</f>
        <v/>
      </c>
      <c r="G80" s="7">
        <f>MAX(0,SUMIFS('PO Ledger'!$L$2:$L$384,'PO Ledger'!$F$2:$F$384,$A80,'PO Ledger'!$D$2:$D$384,"TAM")-SUMIFS('Sales Ledger'!$G$2:$G$834,'Sales Ledger'!$A$2:$A$834,$A80,'Sales Ledger'!$D$2:$D$834,"TAM")*VLOOKUP($A80,$A$9:$D$16,3,0))</f>
        <v/>
      </c>
    </row>
    <row r="81">
      <c r="A81" t="inlineStr">
        <is>
          <t>Burnt Cheesecake</t>
        </is>
      </c>
      <c r="B81" s="9">
        <f>IF(SUMIFS('Sales Ledger'!$G$2:$G$834,'Sales Ledger'!$A$2:$A$834,$A81,'Sales Ledger'!$D$2:$D$834,"PJ")&gt;0,(SUMIFS('PO Ledger'!$L$2:$L$384,'PO Ledger'!$F$2:$F$384,$A81,'PO Ledger'!$D$2:$D$384,"PJ")/VLOOKUP($A81,$A$9:$D$16,3,0))/SUMIFS('Sales Ledger'!$G$2:$G$834,'Sales Ledger'!$A$2:$A$834,$A81,'Sales Ledger'!$D$2:$D$834,"PJ"),"")</f>
        <v/>
      </c>
      <c r="C81" s="9">
        <f>IF(SUMIFS('Sales Ledger'!$G$2:$G$834,'Sales Ledger'!$A$2:$A$834,$A81,'Sales Ledger'!$D$2:$D$834,"SA")&gt;0,(SUMIFS('PO Ledger'!$L$2:$L$384,'PO Ledger'!$F$2:$F$384,$A81,'PO Ledger'!$D$2:$D$384,"SA")/VLOOKUP($A81,$A$9:$D$16,3,0))/SUMIFS('Sales Ledger'!$G$2:$G$834,'Sales Ledger'!$A$2:$A$834,$A81,'Sales Ledger'!$D$2:$D$834,"SA"),"")</f>
        <v/>
      </c>
      <c r="D81" s="9">
        <f>IF(SUMIFS('Sales Ledger'!$G$2:$G$834,'Sales Ledger'!$A$2:$A$834,$A81,'Sales Ledger'!$D$2:$D$834,"TAM")&gt;0,(SUMIFS('PO Ledger'!$L$2:$L$384,'PO Ledger'!$F$2:$F$384,$A81,'PO Ledger'!$D$2:$D$384,"TAM")/VLOOKUP($A81,$A$9:$D$16,3,0))/SUMIFS('Sales Ledger'!$G$2:$G$834,'Sales Ledger'!$A$2:$A$834,$A81,'Sales Ledger'!$D$2:$D$834,"TAM"),"")</f>
        <v/>
      </c>
      <c r="E81" s="7">
        <f>MAX(0,SUMIFS('PO Ledger'!$L$2:$L$384,'PO Ledger'!$F$2:$F$384,$A81,'PO Ledger'!$D$2:$D$384,"PJ")-SUMIFS('Sales Ledger'!$G$2:$G$834,'Sales Ledger'!$A$2:$A$834,$A81,'Sales Ledger'!$D$2:$D$834,"PJ")*VLOOKUP($A81,$A$9:$D$16,3,0))</f>
        <v/>
      </c>
      <c r="F81" s="7">
        <f>MAX(0,SUMIFS('PO Ledger'!$L$2:$L$384,'PO Ledger'!$F$2:$F$384,$A81,'PO Ledger'!$D$2:$D$384,"SA")-SUMIFS('Sales Ledger'!$G$2:$G$834,'Sales Ledger'!$A$2:$A$834,$A81,'Sales Ledger'!$D$2:$D$834,"SA")*VLOOKUP($A81,$A$9:$D$16,3,0))</f>
        <v/>
      </c>
      <c r="G81" s="7">
        <f>MAX(0,SUMIFS('PO Ledger'!$L$2:$L$384,'PO Ledger'!$F$2:$F$384,$A81,'PO Ledger'!$D$2:$D$384,"TAM")-SUMIFS('Sales Ledger'!$G$2:$G$834,'Sales Ledger'!$A$2:$A$834,$A81,'Sales Ledger'!$D$2:$D$834,"TAM")*VLOOKUP($A81,$A$9:$D$16,3,0))</f>
        <v/>
      </c>
    </row>
    <row r="82">
      <c r="A82" t="inlineStr">
        <is>
          <t>Salted Croissant</t>
        </is>
      </c>
      <c r="B82" s="9">
        <f>IF(SUMIFS('Sales Ledger'!$G$2:$G$834,'Sales Ledger'!$A$2:$A$834,$A82,'Sales Ledger'!$D$2:$D$834,"PJ")&gt;0,(SUMIFS('PO Ledger'!$L$2:$L$384,'PO Ledger'!$F$2:$F$384,$A82,'PO Ledger'!$D$2:$D$384,"PJ")/VLOOKUP($A82,$A$9:$D$16,3,0))/SUMIFS('Sales Ledger'!$G$2:$G$834,'Sales Ledger'!$A$2:$A$834,$A82,'Sales Ledger'!$D$2:$D$834,"PJ"),"")</f>
        <v/>
      </c>
      <c r="C82" s="9">
        <f>IF(SUMIFS('Sales Ledger'!$G$2:$G$834,'Sales Ledger'!$A$2:$A$834,$A82,'Sales Ledger'!$D$2:$D$834,"SA")&gt;0,(SUMIFS('PO Ledger'!$L$2:$L$384,'PO Ledger'!$F$2:$F$384,$A82,'PO Ledger'!$D$2:$D$384,"SA")/VLOOKUP($A82,$A$9:$D$16,3,0))/SUMIFS('Sales Ledger'!$G$2:$G$834,'Sales Ledger'!$A$2:$A$834,$A82,'Sales Ledger'!$D$2:$D$834,"SA"),"")</f>
        <v/>
      </c>
      <c r="D82" s="9">
        <f>IF(SUMIFS('Sales Ledger'!$G$2:$G$834,'Sales Ledger'!$A$2:$A$834,$A82,'Sales Ledger'!$D$2:$D$834,"TAM")&gt;0,(SUMIFS('PO Ledger'!$L$2:$L$384,'PO Ledger'!$F$2:$F$384,$A82,'PO Ledger'!$D$2:$D$384,"TAM")/VLOOKUP($A82,$A$9:$D$16,3,0))/SUMIFS('Sales Ledger'!$G$2:$G$834,'Sales Ledger'!$A$2:$A$834,$A82,'Sales Ledger'!$D$2:$D$834,"TAM"),"")</f>
        <v/>
      </c>
      <c r="E82" s="7">
        <f>MAX(0,SUMIFS('PO Ledger'!$L$2:$L$384,'PO Ledger'!$F$2:$F$384,$A82,'PO Ledger'!$D$2:$D$384,"PJ")-SUMIFS('Sales Ledger'!$G$2:$G$834,'Sales Ledger'!$A$2:$A$834,$A82,'Sales Ledger'!$D$2:$D$834,"PJ")*VLOOKUP($A82,$A$9:$D$16,3,0))</f>
        <v/>
      </c>
      <c r="F82" s="7">
        <f>MAX(0,SUMIFS('PO Ledger'!$L$2:$L$384,'PO Ledger'!$F$2:$F$384,$A82,'PO Ledger'!$D$2:$D$384,"SA")-SUMIFS('Sales Ledger'!$G$2:$G$834,'Sales Ledger'!$A$2:$A$834,$A82,'Sales Ledger'!$D$2:$D$834,"SA")*VLOOKUP($A82,$A$9:$D$16,3,0))</f>
        <v/>
      </c>
      <c r="G82" s="7">
        <f>MAX(0,SUMIFS('PO Ledger'!$L$2:$L$384,'PO Ledger'!$F$2:$F$384,$A82,'PO Ledger'!$D$2:$D$384,"TAM")-SUMIFS('Sales Ledger'!$G$2:$G$834,'Sales Ledger'!$A$2:$A$834,$A82,'Sales Ledger'!$D$2:$D$834,"TAM")*VLOOKUP($A82,$A$9:$D$16,3,0))</f>
        <v/>
      </c>
    </row>
    <row r="83">
      <c r="A83" t="inlineStr">
        <is>
          <t>Udang</t>
        </is>
      </c>
      <c r="B83" s="9">
        <f>IF(SUMIFS('Sales Ledger'!$G$2:$G$834,'Sales Ledger'!$A$2:$A$834,$A83,'Sales Ledger'!$D$2:$D$834,"PJ")&gt;0,(SUMIFS('PO Ledger'!$L$2:$L$384,'PO Ledger'!$F$2:$F$384,$A83,'PO Ledger'!$D$2:$D$384,"PJ")/VLOOKUP($A83,$A$9:$D$16,3,0))/SUMIFS('Sales Ledger'!$G$2:$G$834,'Sales Ledger'!$A$2:$A$834,$A83,'Sales Ledger'!$D$2:$D$834,"PJ"),"")</f>
        <v/>
      </c>
      <c r="C83" s="9">
        <f>IF(SUMIFS('Sales Ledger'!$G$2:$G$834,'Sales Ledger'!$A$2:$A$834,$A83,'Sales Ledger'!$D$2:$D$834,"SA")&gt;0,(SUMIFS('PO Ledger'!$L$2:$L$384,'PO Ledger'!$F$2:$F$384,$A83,'PO Ledger'!$D$2:$D$384,"SA")/VLOOKUP($A83,$A$9:$D$16,3,0))/SUMIFS('Sales Ledger'!$G$2:$G$834,'Sales Ledger'!$A$2:$A$834,$A83,'Sales Ledger'!$D$2:$D$834,"SA"),"")</f>
        <v/>
      </c>
      <c r="D83" s="9">
        <f>IF(SUMIFS('Sales Ledger'!$G$2:$G$834,'Sales Ledger'!$A$2:$A$834,$A83,'Sales Ledger'!$D$2:$D$834,"TAM")&gt;0,(SUMIFS('PO Ledger'!$L$2:$L$384,'PO Ledger'!$F$2:$F$384,$A83,'PO Ledger'!$D$2:$D$384,"TAM")/VLOOKUP($A83,$A$9:$D$16,3,0))/SUMIFS('Sales Ledger'!$G$2:$G$834,'Sales Ledger'!$A$2:$A$834,$A83,'Sales Ledger'!$D$2:$D$834,"TAM"),"")</f>
        <v/>
      </c>
      <c r="E83" s="7">
        <f>MAX(0,SUMIFS('PO Ledger'!$L$2:$L$384,'PO Ledger'!$F$2:$F$384,$A83,'PO Ledger'!$D$2:$D$384,"PJ")-SUMIFS('Sales Ledger'!$G$2:$G$834,'Sales Ledger'!$A$2:$A$834,$A83,'Sales Ledger'!$D$2:$D$834,"PJ")*VLOOKUP($A83,$A$9:$D$16,3,0))</f>
        <v/>
      </c>
      <c r="F83" s="7">
        <f>MAX(0,SUMIFS('PO Ledger'!$L$2:$L$384,'PO Ledger'!$F$2:$F$384,$A83,'PO Ledger'!$D$2:$D$384,"SA")-SUMIFS('Sales Ledger'!$G$2:$G$834,'Sales Ledger'!$A$2:$A$834,$A83,'Sales Ledger'!$D$2:$D$834,"SA")*VLOOKUP($A83,$A$9:$D$16,3,0))</f>
        <v/>
      </c>
      <c r="G83" s="7">
        <f>MAX(0,SUMIFS('PO Ledger'!$L$2:$L$384,'PO Ledger'!$F$2:$F$384,$A83,'PO Ledger'!$D$2:$D$384,"TAM")-SUMIFS('Sales Ledger'!$G$2:$G$834,'Sales Ledger'!$A$2:$A$834,$A83,'Sales Ledger'!$D$2:$D$834,"TAM")*VLOOKUP($A83,$A$9:$D$16,3,0))</f>
        <v/>
      </c>
    </row>
    <row r="84">
      <c r="A84" t="inlineStr">
        <is>
          <t>Pull Lamb</t>
        </is>
      </c>
      <c r="B84" s="9">
        <f>IF(SUMIFS('Sales Ledger'!$G$2:$G$834,'Sales Ledger'!$A$2:$A$834,$A84,'Sales Ledger'!$D$2:$D$834,"PJ")&gt;0,(SUMIFS('PO Ledger'!$L$2:$L$384,'PO Ledger'!$F$2:$F$384,$A84,'PO Ledger'!$D$2:$D$384,"PJ")/VLOOKUP($A84,$A$9:$D$16,3,0))/SUMIFS('Sales Ledger'!$G$2:$G$834,'Sales Ledger'!$A$2:$A$834,$A84,'Sales Ledger'!$D$2:$D$834,"PJ"),"")</f>
        <v/>
      </c>
      <c r="C84" s="9">
        <f>IF(SUMIFS('Sales Ledger'!$G$2:$G$834,'Sales Ledger'!$A$2:$A$834,$A84,'Sales Ledger'!$D$2:$D$834,"SA")&gt;0,(SUMIFS('PO Ledger'!$L$2:$L$384,'PO Ledger'!$F$2:$F$384,$A84,'PO Ledger'!$D$2:$D$384,"SA")/VLOOKUP($A84,$A$9:$D$16,3,0))/SUMIFS('Sales Ledger'!$G$2:$G$834,'Sales Ledger'!$A$2:$A$834,$A84,'Sales Ledger'!$D$2:$D$834,"SA"),"")</f>
        <v/>
      </c>
      <c r="D84" s="9">
        <f>IF(SUMIFS('Sales Ledger'!$G$2:$G$834,'Sales Ledger'!$A$2:$A$834,$A84,'Sales Ledger'!$D$2:$D$834,"TAM")&gt;0,(SUMIFS('PO Ledger'!$L$2:$L$384,'PO Ledger'!$F$2:$F$384,$A84,'PO Ledger'!$D$2:$D$384,"TAM")/VLOOKUP($A84,$A$9:$D$16,3,0))/SUMIFS('Sales Ledger'!$G$2:$G$834,'Sales Ledger'!$A$2:$A$834,$A84,'Sales Ledger'!$D$2:$D$834,"TAM"),"")</f>
        <v/>
      </c>
      <c r="E84" s="7">
        <f>MAX(0,SUMIFS('PO Ledger'!$L$2:$L$384,'PO Ledger'!$F$2:$F$384,$A84,'PO Ledger'!$D$2:$D$384,"PJ")-SUMIFS('Sales Ledger'!$G$2:$G$834,'Sales Ledger'!$A$2:$A$834,$A84,'Sales Ledger'!$D$2:$D$834,"PJ")*VLOOKUP($A84,$A$9:$D$16,3,0))</f>
        <v/>
      </c>
      <c r="F84" s="7">
        <f>MAX(0,SUMIFS('PO Ledger'!$L$2:$L$384,'PO Ledger'!$F$2:$F$384,$A84,'PO Ledger'!$D$2:$D$384,"SA")-SUMIFS('Sales Ledger'!$G$2:$G$834,'Sales Ledger'!$A$2:$A$834,$A84,'Sales Ledger'!$D$2:$D$834,"SA")*VLOOKUP($A84,$A$9:$D$16,3,0))</f>
        <v/>
      </c>
      <c r="G84" s="7">
        <f>MAX(0,SUMIFS('PO Ledger'!$L$2:$L$384,'PO Ledger'!$F$2:$F$384,$A84,'PO Ledger'!$D$2:$D$384,"TAM")-SUMIFS('Sales Ledger'!$G$2:$G$834,'Sales Ledger'!$A$2:$A$834,$A84,'Sales Ledger'!$D$2:$D$834,"TAM")*VLOOKUP($A84,$A$9:$D$16,3,0))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0" customWidth="1" min="3" max="3"/>
    <col width="8" customWidth="1" min="4" max="4"/>
    <col width="10" customWidth="1" min="5" max="5"/>
    <col width="12" customWidth="1" min="6" max="6"/>
    <col width="14" customWidth="1" min="7" max="7"/>
  </cols>
  <sheetData>
    <row r="1">
      <c r="A1" s="4" t="inlineStr">
        <is>
          <t>Ingredient</t>
        </is>
      </c>
      <c r="B1" s="4" t="inlineStr">
        <is>
          <t>Menu item</t>
        </is>
      </c>
      <c r="C1" s="4" t="inlineStr">
        <is>
          <t>Month</t>
        </is>
      </c>
      <c r="D1" s="4" t="inlineStr">
        <is>
          <t>Outlet</t>
        </is>
      </c>
      <c r="E1" s="4" t="inlineStr">
        <is>
          <t>Qty sold</t>
        </is>
      </c>
      <c r="F1" s="4" t="inlineStr">
        <is>
          <t>Dose (EDIT)</t>
        </is>
      </c>
      <c r="G1" s="4" t="inlineStr">
        <is>
          <t>Usage = qty x dose</t>
        </is>
      </c>
    </row>
    <row r="2">
      <c r="A2" t="inlineStr">
        <is>
          <t>Brioche Sandwich</t>
        </is>
      </c>
      <c r="B2" t="inlineStr">
        <is>
          <t>Ebi Sando</t>
        </is>
      </c>
      <c r="C2" t="inlineStr">
        <is>
          <t>2026-04</t>
        </is>
      </c>
      <c r="D2" t="inlineStr">
        <is>
          <t>PJ</t>
        </is>
      </c>
      <c r="E2" t="n">
        <v>28</v>
      </c>
      <c r="F2" t="n">
        <v>2</v>
      </c>
      <c r="G2">
        <f>E2*F2</f>
        <v/>
      </c>
    </row>
    <row r="3">
      <c r="A3" t="inlineStr">
        <is>
          <t>Brioche Sandwich</t>
        </is>
      </c>
      <c r="B3" t="inlineStr">
        <is>
          <t>Ebi Sando</t>
        </is>
      </c>
      <c r="C3" t="inlineStr">
        <is>
          <t>2026-04</t>
        </is>
      </c>
      <c r="D3" t="inlineStr">
        <is>
          <t>SA</t>
        </is>
      </c>
      <c r="E3" t="n">
        <v>10</v>
      </c>
      <c r="F3" t="n">
        <v>2</v>
      </c>
      <c r="G3">
        <f>E3*F3</f>
        <v/>
      </c>
    </row>
    <row r="4">
      <c r="A4" t="inlineStr">
        <is>
          <t>Brioche Sandwich</t>
        </is>
      </c>
      <c r="B4" t="inlineStr">
        <is>
          <t>Ebi Sando</t>
        </is>
      </c>
      <c r="C4" t="inlineStr">
        <is>
          <t>2026-04</t>
        </is>
      </c>
      <c r="D4" t="inlineStr">
        <is>
          <t>TAM</t>
        </is>
      </c>
      <c r="E4" t="n">
        <v>7</v>
      </c>
      <c r="F4" t="n">
        <v>2</v>
      </c>
      <c r="G4">
        <f>E4*F4</f>
        <v/>
      </c>
    </row>
    <row r="5">
      <c r="A5" t="inlineStr">
        <is>
          <t>Brioche Sandwich</t>
        </is>
      </c>
      <c r="B5" t="inlineStr">
        <is>
          <t>Ebi Sando</t>
        </is>
      </c>
      <c r="C5" t="inlineStr">
        <is>
          <t>2026-05</t>
        </is>
      </c>
      <c r="D5" t="inlineStr">
        <is>
          <t>PJ</t>
        </is>
      </c>
      <c r="E5" t="n">
        <v>28</v>
      </c>
      <c r="F5" t="n">
        <v>2</v>
      </c>
      <c r="G5">
        <f>E5*F5</f>
        <v/>
      </c>
    </row>
    <row r="6">
      <c r="A6" t="inlineStr">
        <is>
          <t>Brioche Sandwich</t>
        </is>
      </c>
      <c r="B6" t="inlineStr">
        <is>
          <t>Ebi Sando</t>
        </is>
      </c>
      <c r="C6" t="inlineStr">
        <is>
          <t>2026-05</t>
        </is>
      </c>
      <c r="D6" t="inlineStr">
        <is>
          <t>SA</t>
        </is>
      </c>
      <c r="E6" t="n">
        <v>9</v>
      </c>
      <c r="F6" t="n">
        <v>2</v>
      </c>
      <c r="G6">
        <f>E6*F6</f>
        <v/>
      </c>
    </row>
    <row r="7">
      <c r="A7" t="inlineStr">
        <is>
          <t>Brioche Sandwich</t>
        </is>
      </c>
      <c r="B7" t="inlineStr">
        <is>
          <t>Ebi Sando</t>
        </is>
      </c>
      <c r="C7" t="inlineStr">
        <is>
          <t>2026-05</t>
        </is>
      </c>
      <c r="D7" t="inlineStr">
        <is>
          <t>TAM</t>
        </is>
      </c>
      <c r="E7" t="n">
        <v>16</v>
      </c>
      <c r="F7" t="n">
        <v>2</v>
      </c>
      <c r="G7">
        <f>E7*F7</f>
        <v/>
      </c>
    </row>
    <row r="8">
      <c r="A8" t="inlineStr">
        <is>
          <t>Brioche Sandwich</t>
        </is>
      </c>
      <c r="B8" t="inlineStr">
        <is>
          <t>Ebi Sando</t>
        </is>
      </c>
      <c r="C8" t="inlineStr">
        <is>
          <t>2026-06</t>
        </is>
      </c>
      <c r="D8" t="inlineStr">
        <is>
          <t>PJ</t>
        </is>
      </c>
      <c r="E8" t="n">
        <v>17</v>
      </c>
      <c r="F8" t="n">
        <v>2</v>
      </c>
      <c r="G8">
        <f>E8*F8</f>
        <v/>
      </c>
    </row>
    <row r="9">
      <c r="A9" t="inlineStr">
        <is>
          <t>Brioche Sandwich</t>
        </is>
      </c>
      <c r="B9" t="inlineStr">
        <is>
          <t>Ebi Sando</t>
        </is>
      </c>
      <c r="C9" t="inlineStr">
        <is>
          <t>2026-06</t>
        </is>
      </c>
      <c r="D9" t="inlineStr">
        <is>
          <t>SA</t>
        </is>
      </c>
      <c r="E9" t="n">
        <v>16</v>
      </c>
      <c r="F9" t="n">
        <v>2</v>
      </c>
      <c r="G9">
        <f>E9*F9</f>
        <v/>
      </c>
    </row>
    <row r="10">
      <c r="A10" t="inlineStr">
        <is>
          <t>Brioche Sandwich</t>
        </is>
      </c>
      <c r="B10" t="inlineStr">
        <is>
          <t>Ebi Sando</t>
        </is>
      </c>
      <c r="C10" t="inlineStr">
        <is>
          <t>2026-06</t>
        </is>
      </c>
      <c r="D10" t="inlineStr">
        <is>
          <t>TAM</t>
        </is>
      </c>
      <c r="E10" t="n">
        <v>19</v>
      </c>
      <c r="F10" t="n">
        <v>2</v>
      </c>
      <c r="G10">
        <f>E10*F10</f>
        <v/>
      </c>
    </row>
    <row r="11">
      <c r="A11" t="inlineStr">
        <is>
          <t>Brioche Sandwich</t>
        </is>
      </c>
      <c r="B11" t="inlineStr">
        <is>
          <t>Ebi Sando</t>
        </is>
      </c>
      <c r="C11" t="inlineStr">
        <is>
          <t>2026-07</t>
        </is>
      </c>
      <c r="D11" t="inlineStr">
        <is>
          <t>PJ</t>
        </is>
      </c>
      <c r="E11" t="n">
        <v>7</v>
      </c>
      <c r="F11" t="n">
        <v>2</v>
      </c>
      <c r="G11">
        <f>E11*F11</f>
        <v/>
      </c>
    </row>
    <row r="12">
      <c r="A12" t="inlineStr">
        <is>
          <t>Brioche Sandwich</t>
        </is>
      </c>
      <c r="B12" t="inlineStr">
        <is>
          <t>Ebi Sando</t>
        </is>
      </c>
      <c r="C12" t="inlineStr">
        <is>
          <t>2026-07</t>
        </is>
      </c>
      <c r="D12" t="inlineStr">
        <is>
          <t>SA</t>
        </is>
      </c>
      <c r="E12" t="n">
        <v>11</v>
      </c>
      <c r="F12" t="n">
        <v>2</v>
      </c>
      <c r="G12">
        <f>E12*F12</f>
        <v/>
      </c>
    </row>
    <row r="13">
      <c r="A13" t="inlineStr">
        <is>
          <t>Brioche Sandwich</t>
        </is>
      </c>
      <c r="B13" t="inlineStr">
        <is>
          <t>Ebi Sando</t>
        </is>
      </c>
      <c r="C13" t="inlineStr">
        <is>
          <t>2026-07</t>
        </is>
      </c>
      <c r="D13" t="inlineStr">
        <is>
          <t>TAM</t>
        </is>
      </c>
      <c r="E13" t="n">
        <v>7</v>
      </c>
      <c r="F13" t="n">
        <v>2</v>
      </c>
      <c r="G13">
        <f>E13*F13</f>
        <v/>
      </c>
    </row>
    <row r="14">
      <c r="A14" t="inlineStr">
        <is>
          <t>Brioche Sandwich</t>
        </is>
      </c>
      <c r="B14" t="inlineStr">
        <is>
          <t>Egg Sando</t>
        </is>
      </c>
      <c r="C14" t="inlineStr">
        <is>
          <t>2026-04</t>
        </is>
      </c>
      <c r="D14" t="inlineStr">
        <is>
          <t>PJ</t>
        </is>
      </c>
      <c r="E14" t="n">
        <v>69</v>
      </c>
      <c r="F14" t="n">
        <v>2</v>
      </c>
      <c r="G14">
        <f>E14*F14</f>
        <v/>
      </c>
    </row>
    <row r="15">
      <c r="A15" t="inlineStr">
        <is>
          <t>Brioche Sandwich</t>
        </is>
      </c>
      <c r="B15" t="inlineStr">
        <is>
          <t>Egg Sando</t>
        </is>
      </c>
      <c r="C15" t="inlineStr">
        <is>
          <t>2026-04</t>
        </is>
      </c>
      <c r="D15" t="inlineStr">
        <is>
          <t>SA</t>
        </is>
      </c>
      <c r="E15" t="n">
        <v>30</v>
      </c>
      <c r="F15" t="n">
        <v>2</v>
      </c>
      <c r="G15">
        <f>E15*F15</f>
        <v/>
      </c>
    </row>
    <row r="16">
      <c r="A16" t="inlineStr">
        <is>
          <t>Brioche Sandwich</t>
        </is>
      </c>
      <c r="B16" t="inlineStr">
        <is>
          <t>Egg Sando</t>
        </is>
      </c>
      <c r="C16" t="inlineStr">
        <is>
          <t>2026-04</t>
        </is>
      </c>
      <c r="D16" t="inlineStr">
        <is>
          <t>TAM</t>
        </is>
      </c>
      <c r="E16" t="n">
        <v>39</v>
      </c>
      <c r="F16" t="n">
        <v>2</v>
      </c>
      <c r="G16">
        <f>E16*F16</f>
        <v/>
      </c>
    </row>
    <row r="17">
      <c r="A17" t="inlineStr">
        <is>
          <t>Brioche Sandwich</t>
        </is>
      </c>
      <c r="B17" t="inlineStr">
        <is>
          <t>Egg Sando</t>
        </is>
      </c>
      <c r="C17" t="inlineStr">
        <is>
          <t>2026-05</t>
        </is>
      </c>
      <c r="D17" t="inlineStr">
        <is>
          <t>PJ</t>
        </is>
      </c>
      <c r="E17" t="n">
        <v>119</v>
      </c>
      <c r="F17" t="n">
        <v>2</v>
      </c>
      <c r="G17">
        <f>E17*F17</f>
        <v/>
      </c>
    </row>
    <row r="18">
      <c r="A18" t="inlineStr">
        <is>
          <t>Brioche Sandwich</t>
        </is>
      </c>
      <c r="B18" t="inlineStr">
        <is>
          <t>Egg Sando</t>
        </is>
      </c>
      <c r="C18" t="inlineStr">
        <is>
          <t>2026-05</t>
        </is>
      </c>
      <c r="D18" t="inlineStr">
        <is>
          <t>SA</t>
        </is>
      </c>
      <c r="E18" t="n">
        <v>37</v>
      </c>
      <c r="F18" t="n">
        <v>2</v>
      </c>
      <c r="G18">
        <f>E18*F18</f>
        <v/>
      </c>
    </row>
    <row r="19">
      <c r="A19" t="inlineStr">
        <is>
          <t>Brioche Sandwich</t>
        </is>
      </c>
      <c r="B19" t="inlineStr">
        <is>
          <t>Egg Sando</t>
        </is>
      </c>
      <c r="C19" t="inlineStr">
        <is>
          <t>2026-05</t>
        </is>
      </c>
      <c r="D19" t="inlineStr">
        <is>
          <t>TAM</t>
        </is>
      </c>
      <c r="E19" t="n">
        <v>44</v>
      </c>
      <c r="F19" t="n">
        <v>2</v>
      </c>
      <c r="G19">
        <f>E19*F19</f>
        <v/>
      </c>
    </row>
    <row r="20">
      <c r="A20" t="inlineStr">
        <is>
          <t>Brioche Sandwich</t>
        </is>
      </c>
      <c r="B20" t="inlineStr">
        <is>
          <t>Egg Sando</t>
        </is>
      </c>
      <c r="C20" t="inlineStr">
        <is>
          <t>2026-06</t>
        </is>
      </c>
      <c r="D20" t="inlineStr">
        <is>
          <t>PJ</t>
        </is>
      </c>
      <c r="E20" t="n">
        <v>97</v>
      </c>
      <c r="F20" t="n">
        <v>2</v>
      </c>
      <c r="G20">
        <f>E20*F20</f>
        <v/>
      </c>
    </row>
    <row r="21">
      <c r="A21" t="inlineStr">
        <is>
          <t>Brioche Sandwich</t>
        </is>
      </c>
      <c r="B21" t="inlineStr">
        <is>
          <t>Egg Sando</t>
        </is>
      </c>
      <c r="C21" t="inlineStr">
        <is>
          <t>2026-06</t>
        </is>
      </c>
      <c r="D21" t="inlineStr">
        <is>
          <t>SA</t>
        </is>
      </c>
      <c r="E21" t="n">
        <v>48</v>
      </c>
      <c r="F21" t="n">
        <v>2</v>
      </c>
      <c r="G21">
        <f>E21*F21</f>
        <v/>
      </c>
    </row>
    <row r="22">
      <c r="A22" t="inlineStr">
        <is>
          <t>Brioche Sandwich</t>
        </is>
      </c>
      <c r="B22" t="inlineStr">
        <is>
          <t>Egg Sando</t>
        </is>
      </c>
      <c r="C22" t="inlineStr">
        <is>
          <t>2026-06</t>
        </is>
      </c>
      <c r="D22" t="inlineStr">
        <is>
          <t>TAM</t>
        </is>
      </c>
      <c r="E22" t="n">
        <v>84</v>
      </c>
      <c r="F22" t="n">
        <v>2</v>
      </c>
      <c r="G22">
        <f>E22*F22</f>
        <v/>
      </c>
    </row>
    <row r="23">
      <c r="A23" t="inlineStr">
        <is>
          <t>Brioche Sandwich</t>
        </is>
      </c>
      <c r="B23" t="inlineStr">
        <is>
          <t>Egg Sando</t>
        </is>
      </c>
      <c r="C23" t="inlineStr">
        <is>
          <t>2026-07</t>
        </is>
      </c>
      <c r="D23" t="inlineStr">
        <is>
          <t>PJ</t>
        </is>
      </c>
      <c r="E23" t="n">
        <v>82</v>
      </c>
      <c r="F23" t="n">
        <v>2</v>
      </c>
      <c r="G23">
        <f>E23*F23</f>
        <v/>
      </c>
    </row>
    <row r="24">
      <c r="A24" t="inlineStr">
        <is>
          <t>Brioche Sandwich</t>
        </is>
      </c>
      <c r="B24" t="inlineStr">
        <is>
          <t>Egg Sando</t>
        </is>
      </c>
      <c r="C24" t="inlineStr">
        <is>
          <t>2026-07</t>
        </is>
      </c>
      <c r="D24" t="inlineStr">
        <is>
          <t>SA</t>
        </is>
      </c>
      <c r="E24" t="n">
        <v>46</v>
      </c>
      <c r="F24" t="n">
        <v>2</v>
      </c>
      <c r="G24">
        <f>E24*F24</f>
        <v/>
      </c>
    </row>
    <row r="25">
      <c r="A25" t="inlineStr">
        <is>
          <t>Brioche Sandwich</t>
        </is>
      </c>
      <c r="B25" t="inlineStr">
        <is>
          <t>Egg Sando</t>
        </is>
      </c>
      <c r="C25" t="inlineStr">
        <is>
          <t>2026-07</t>
        </is>
      </c>
      <c r="D25" t="inlineStr">
        <is>
          <t>TAM</t>
        </is>
      </c>
      <c r="E25" t="n">
        <v>33</v>
      </c>
      <c r="F25" t="n">
        <v>2</v>
      </c>
      <c r="G25">
        <f>E25*F25</f>
        <v/>
      </c>
    </row>
    <row r="26">
      <c r="A26" t="inlineStr">
        <is>
          <t>Brioche Sandwich</t>
        </is>
      </c>
      <c r="B26" t="inlineStr">
        <is>
          <t>Korean Crispy Chicken</t>
        </is>
      </c>
      <c r="C26" t="inlineStr">
        <is>
          <t>2026-04</t>
        </is>
      </c>
      <c r="D26" t="inlineStr">
        <is>
          <t>PJ</t>
        </is>
      </c>
      <c r="E26" t="n">
        <v>99</v>
      </c>
      <c r="F26" t="n">
        <v>2</v>
      </c>
      <c r="G26">
        <f>E26*F26</f>
        <v/>
      </c>
    </row>
    <row r="27">
      <c r="A27" t="inlineStr">
        <is>
          <t>Brioche Sandwich</t>
        </is>
      </c>
      <c r="B27" t="inlineStr">
        <is>
          <t>Korean Crispy Chicken</t>
        </is>
      </c>
      <c r="C27" t="inlineStr">
        <is>
          <t>2026-04</t>
        </is>
      </c>
      <c r="D27" t="inlineStr">
        <is>
          <t>SA</t>
        </is>
      </c>
      <c r="E27" t="n">
        <v>13</v>
      </c>
      <c r="F27" t="n">
        <v>2</v>
      </c>
      <c r="G27">
        <f>E27*F27</f>
        <v/>
      </c>
    </row>
    <row r="28">
      <c r="A28" t="inlineStr">
        <is>
          <t>Brioche Sandwich</t>
        </is>
      </c>
      <c r="B28" t="inlineStr">
        <is>
          <t>Korean Crispy Chicken</t>
        </is>
      </c>
      <c r="C28" t="inlineStr">
        <is>
          <t>2026-04</t>
        </is>
      </c>
      <c r="D28" t="inlineStr">
        <is>
          <t>TAM</t>
        </is>
      </c>
      <c r="E28" t="n">
        <v>36</v>
      </c>
      <c r="F28" t="n">
        <v>2</v>
      </c>
      <c r="G28">
        <f>E28*F28</f>
        <v/>
      </c>
    </row>
    <row r="29">
      <c r="A29" t="inlineStr">
        <is>
          <t>Brioche Sandwich</t>
        </is>
      </c>
      <c r="B29" t="inlineStr">
        <is>
          <t>Korean Crispy Chicken</t>
        </is>
      </c>
      <c r="C29" t="inlineStr">
        <is>
          <t>2026-05</t>
        </is>
      </c>
      <c r="D29" t="inlineStr">
        <is>
          <t>PJ</t>
        </is>
      </c>
      <c r="E29" t="n">
        <v>75</v>
      </c>
      <c r="F29" t="n">
        <v>2</v>
      </c>
      <c r="G29">
        <f>E29*F29</f>
        <v/>
      </c>
    </row>
    <row r="30">
      <c r="A30" t="inlineStr">
        <is>
          <t>Brioche Sandwich</t>
        </is>
      </c>
      <c r="B30" t="inlineStr">
        <is>
          <t>Korean Crispy Chicken</t>
        </is>
      </c>
      <c r="C30" t="inlineStr">
        <is>
          <t>2026-05</t>
        </is>
      </c>
      <c r="D30" t="inlineStr">
        <is>
          <t>SA</t>
        </is>
      </c>
      <c r="E30" t="n">
        <v>32</v>
      </c>
      <c r="F30" t="n">
        <v>2</v>
      </c>
      <c r="G30">
        <f>E30*F30</f>
        <v/>
      </c>
    </row>
    <row r="31">
      <c r="A31" t="inlineStr">
        <is>
          <t>Brioche Sandwich</t>
        </is>
      </c>
      <c r="B31" t="inlineStr">
        <is>
          <t>Korean Crispy Chicken</t>
        </is>
      </c>
      <c r="C31" t="inlineStr">
        <is>
          <t>2026-05</t>
        </is>
      </c>
      <c r="D31" t="inlineStr">
        <is>
          <t>TAM</t>
        </is>
      </c>
      <c r="E31" t="n">
        <v>29</v>
      </c>
      <c r="F31" t="n">
        <v>2</v>
      </c>
      <c r="G31">
        <f>E31*F31</f>
        <v/>
      </c>
    </row>
    <row r="32">
      <c r="A32" t="inlineStr">
        <is>
          <t>Brioche Sandwich</t>
        </is>
      </c>
      <c r="B32" t="inlineStr">
        <is>
          <t>Korean Crispy Chicken</t>
        </is>
      </c>
      <c r="C32" t="inlineStr">
        <is>
          <t>2026-06</t>
        </is>
      </c>
      <c r="D32" t="inlineStr">
        <is>
          <t>PJ</t>
        </is>
      </c>
      <c r="E32" t="n">
        <v>82</v>
      </c>
      <c r="F32" t="n">
        <v>2</v>
      </c>
      <c r="G32">
        <f>E32*F32</f>
        <v/>
      </c>
    </row>
    <row r="33">
      <c r="A33" t="inlineStr">
        <is>
          <t>Brioche Sandwich</t>
        </is>
      </c>
      <c r="B33" t="inlineStr">
        <is>
          <t>Korean Crispy Chicken</t>
        </is>
      </c>
      <c r="C33" t="inlineStr">
        <is>
          <t>2026-06</t>
        </is>
      </c>
      <c r="D33" t="inlineStr">
        <is>
          <t>SA</t>
        </is>
      </c>
      <c r="E33" t="n">
        <v>37</v>
      </c>
      <c r="F33" t="n">
        <v>2</v>
      </c>
      <c r="G33">
        <f>E33*F33</f>
        <v/>
      </c>
    </row>
    <row r="34">
      <c r="A34" t="inlineStr">
        <is>
          <t>Brioche Sandwich</t>
        </is>
      </c>
      <c r="B34" t="inlineStr">
        <is>
          <t>Korean Crispy Chicken</t>
        </is>
      </c>
      <c r="C34" t="inlineStr">
        <is>
          <t>2026-06</t>
        </is>
      </c>
      <c r="D34" t="inlineStr">
        <is>
          <t>TAM</t>
        </is>
      </c>
      <c r="E34" t="n">
        <v>28</v>
      </c>
      <c r="F34" t="n">
        <v>2</v>
      </c>
      <c r="G34">
        <f>E34*F34</f>
        <v/>
      </c>
    </row>
    <row r="35">
      <c r="A35" t="inlineStr">
        <is>
          <t>Brioche Sandwich</t>
        </is>
      </c>
      <c r="B35" t="inlineStr">
        <is>
          <t>Korean Crispy Chicken</t>
        </is>
      </c>
      <c r="C35" t="inlineStr">
        <is>
          <t>2026-07</t>
        </is>
      </c>
      <c r="D35" t="inlineStr">
        <is>
          <t>PJ</t>
        </is>
      </c>
      <c r="E35" t="n">
        <v>31</v>
      </c>
      <c r="F35" t="n">
        <v>2</v>
      </c>
      <c r="G35">
        <f>E35*F35</f>
        <v/>
      </c>
    </row>
    <row r="36">
      <c r="A36" t="inlineStr">
        <is>
          <t>Brioche Sandwich</t>
        </is>
      </c>
      <c r="B36" t="inlineStr">
        <is>
          <t>Korean Crispy Chicken</t>
        </is>
      </c>
      <c r="C36" t="inlineStr">
        <is>
          <t>2026-07</t>
        </is>
      </c>
      <c r="D36" t="inlineStr">
        <is>
          <t>SA</t>
        </is>
      </c>
      <c r="E36" t="n">
        <v>33</v>
      </c>
      <c r="F36" t="n">
        <v>2</v>
      </c>
      <c r="G36">
        <f>E36*F36</f>
        <v/>
      </c>
    </row>
    <row r="37">
      <c r="A37" t="inlineStr">
        <is>
          <t>Brioche Sandwich</t>
        </is>
      </c>
      <c r="B37" t="inlineStr">
        <is>
          <t>Korean Crispy Chicken</t>
        </is>
      </c>
      <c r="C37" t="inlineStr">
        <is>
          <t>2026-07</t>
        </is>
      </c>
      <c r="D37" t="inlineStr">
        <is>
          <t>TAM</t>
        </is>
      </c>
      <c r="E37" t="n">
        <v>26</v>
      </c>
      <c r="F37" t="n">
        <v>2</v>
      </c>
      <c r="G37">
        <f>E37*F37</f>
        <v/>
      </c>
    </row>
    <row r="38">
      <c r="A38" t="inlineStr">
        <is>
          <t>Brioche Sandwich</t>
        </is>
      </c>
      <c r="B38" t="inlineStr">
        <is>
          <t>Smoked Pulled Lamb</t>
        </is>
      </c>
      <c r="C38" t="inlineStr">
        <is>
          <t>2026-04</t>
        </is>
      </c>
      <c r="D38" t="inlineStr">
        <is>
          <t>PJ</t>
        </is>
      </c>
      <c r="E38" t="n">
        <v>60</v>
      </c>
      <c r="F38" t="n">
        <v>2</v>
      </c>
      <c r="G38">
        <f>E38*F38</f>
        <v/>
      </c>
    </row>
    <row r="39">
      <c r="A39" t="inlineStr">
        <is>
          <t>Brioche Sandwich</t>
        </is>
      </c>
      <c r="B39" t="inlineStr">
        <is>
          <t>Smoked Pulled Lamb</t>
        </is>
      </c>
      <c r="C39" t="inlineStr">
        <is>
          <t>2026-04</t>
        </is>
      </c>
      <c r="D39" t="inlineStr">
        <is>
          <t>SA</t>
        </is>
      </c>
      <c r="E39" t="n">
        <v>10</v>
      </c>
      <c r="F39" t="n">
        <v>2</v>
      </c>
      <c r="G39">
        <f>E39*F39</f>
        <v/>
      </c>
    </row>
    <row r="40">
      <c r="A40" t="inlineStr">
        <is>
          <t>Brioche Sandwich</t>
        </is>
      </c>
      <c r="B40" t="inlineStr">
        <is>
          <t>Smoked Pulled Lamb</t>
        </is>
      </c>
      <c r="C40" t="inlineStr">
        <is>
          <t>2026-04</t>
        </is>
      </c>
      <c r="D40" t="inlineStr">
        <is>
          <t>TAM</t>
        </is>
      </c>
      <c r="E40" t="n">
        <v>17</v>
      </c>
      <c r="F40" t="n">
        <v>2</v>
      </c>
      <c r="G40">
        <f>E40*F40</f>
        <v/>
      </c>
    </row>
    <row r="41">
      <c r="A41" t="inlineStr">
        <is>
          <t>Brioche Sandwich</t>
        </is>
      </c>
      <c r="B41" t="inlineStr">
        <is>
          <t>Smoked Pulled Lamb</t>
        </is>
      </c>
      <c r="C41" t="inlineStr">
        <is>
          <t>2026-05</t>
        </is>
      </c>
      <c r="D41" t="inlineStr">
        <is>
          <t>PJ</t>
        </is>
      </c>
      <c r="E41" t="n">
        <v>77</v>
      </c>
      <c r="F41" t="n">
        <v>2</v>
      </c>
      <c r="G41">
        <f>E41*F41</f>
        <v/>
      </c>
    </row>
    <row r="42">
      <c r="A42" t="inlineStr">
        <is>
          <t>Brioche Sandwich</t>
        </is>
      </c>
      <c r="B42" t="inlineStr">
        <is>
          <t>Smoked Pulled Lamb</t>
        </is>
      </c>
      <c r="C42" t="inlineStr">
        <is>
          <t>2026-05</t>
        </is>
      </c>
      <c r="D42" t="inlineStr">
        <is>
          <t>SA</t>
        </is>
      </c>
      <c r="E42" t="n">
        <v>27</v>
      </c>
      <c r="F42" t="n">
        <v>2</v>
      </c>
      <c r="G42">
        <f>E42*F42</f>
        <v/>
      </c>
    </row>
    <row r="43">
      <c r="A43" t="inlineStr">
        <is>
          <t>Brioche Sandwich</t>
        </is>
      </c>
      <c r="B43" t="inlineStr">
        <is>
          <t>Smoked Pulled Lamb</t>
        </is>
      </c>
      <c r="C43" t="inlineStr">
        <is>
          <t>2026-05</t>
        </is>
      </c>
      <c r="D43" t="inlineStr">
        <is>
          <t>TAM</t>
        </is>
      </c>
      <c r="E43" t="n">
        <v>14</v>
      </c>
      <c r="F43" t="n">
        <v>2</v>
      </c>
      <c r="G43">
        <f>E43*F43</f>
        <v/>
      </c>
    </row>
    <row r="44">
      <c r="A44" t="inlineStr">
        <is>
          <t>Brioche Sandwich</t>
        </is>
      </c>
      <c r="B44" t="inlineStr">
        <is>
          <t>Smoked Pulled Lamb</t>
        </is>
      </c>
      <c r="C44" t="inlineStr">
        <is>
          <t>2026-06</t>
        </is>
      </c>
      <c r="D44" t="inlineStr">
        <is>
          <t>PJ</t>
        </is>
      </c>
      <c r="E44" t="n">
        <v>33</v>
      </c>
      <c r="F44" t="n">
        <v>2</v>
      </c>
      <c r="G44">
        <f>E44*F44</f>
        <v/>
      </c>
    </row>
    <row r="45">
      <c r="A45" t="inlineStr">
        <is>
          <t>Brioche Sandwich</t>
        </is>
      </c>
      <c r="B45" t="inlineStr">
        <is>
          <t>Smoked Pulled Lamb</t>
        </is>
      </c>
      <c r="C45" t="inlineStr">
        <is>
          <t>2026-06</t>
        </is>
      </c>
      <c r="D45" t="inlineStr">
        <is>
          <t>SA</t>
        </is>
      </c>
      <c r="E45" t="n">
        <v>21</v>
      </c>
      <c r="F45" t="n">
        <v>2</v>
      </c>
      <c r="G45">
        <f>E45*F45</f>
        <v/>
      </c>
    </row>
    <row r="46">
      <c r="A46" t="inlineStr">
        <is>
          <t>Brioche Sandwich</t>
        </is>
      </c>
      <c r="B46" t="inlineStr">
        <is>
          <t>Smoked Pulled Lamb</t>
        </is>
      </c>
      <c r="C46" t="inlineStr">
        <is>
          <t>2026-06</t>
        </is>
      </c>
      <c r="D46" t="inlineStr">
        <is>
          <t>TAM</t>
        </is>
      </c>
      <c r="E46" t="n">
        <v>20</v>
      </c>
      <c r="F46" t="n">
        <v>2</v>
      </c>
      <c r="G46">
        <f>E46*F46</f>
        <v/>
      </c>
    </row>
    <row r="47">
      <c r="A47" t="inlineStr">
        <is>
          <t>Brioche Sandwich</t>
        </is>
      </c>
      <c r="B47" t="inlineStr">
        <is>
          <t>Smoked Pulled Lamb</t>
        </is>
      </c>
      <c r="C47" t="inlineStr">
        <is>
          <t>2026-07</t>
        </is>
      </c>
      <c r="D47" t="inlineStr">
        <is>
          <t>PJ</t>
        </is>
      </c>
      <c r="E47" t="n">
        <v>41</v>
      </c>
      <c r="F47" t="n">
        <v>2</v>
      </c>
      <c r="G47">
        <f>E47*F47</f>
        <v/>
      </c>
    </row>
    <row r="48">
      <c r="A48" t="inlineStr">
        <is>
          <t>Brioche Sandwich</t>
        </is>
      </c>
      <c r="B48" t="inlineStr">
        <is>
          <t>Smoked Pulled Lamb</t>
        </is>
      </c>
      <c r="C48" t="inlineStr">
        <is>
          <t>2026-07</t>
        </is>
      </c>
      <c r="D48" t="inlineStr">
        <is>
          <t>SA</t>
        </is>
      </c>
      <c r="E48" t="n">
        <v>17</v>
      </c>
      <c r="F48" t="n">
        <v>2</v>
      </c>
      <c r="G48">
        <f>E48*F48</f>
        <v/>
      </c>
    </row>
    <row r="49">
      <c r="A49" t="inlineStr">
        <is>
          <t>Brioche Sandwich</t>
        </is>
      </c>
      <c r="B49" t="inlineStr">
        <is>
          <t>Smoked Pulled Lamb</t>
        </is>
      </c>
      <c r="C49" t="inlineStr">
        <is>
          <t>2026-07</t>
        </is>
      </c>
      <c r="D49" t="inlineStr">
        <is>
          <t>TAM</t>
        </is>
      </c>
      <c r="E49" t="n">
        <v>9</v>
      </c>
      <c r="F49" t="n">
        <v>2</v>
      </c>
      <c r="G49">
        <f>E49*F49</f>
        <v/>
      </c>
    </row>
    <row r="50">
      <c r="A50" t="inlineStr">
        <is>
          <t>Brioche Sandwich</t>
        </is>
      </c>
      <c r="B50" t="inlineStr">
        <is>
          <t>Streaky Beef Pesto</t>
        </is>
      </c>
      <c r="C50" t="inlineStr">
        <is>
          <t>2026-04</t>
        </is>
      </c>
      <c r="D50" t="inlineStr">
        <is>
          <t>PJ</t>
        </is>
      </c>
      <c r="E50" t="n">
        <v>158</v>
      </c>
      <c r="F50" t="n">
        <v>2</v>
      </c>
      <c r="G50">
        <f>E50*F50</f>
        <v/>
      </c>
    </row>
    <row r="51">
      <c r="A51" t="inlineStr">
        <is>
          <t>Brioche Sandwich</t>
        </is>
      </c>
      <c r="B51" t="inlineStr">
        <is>
          <t>Streaky Beef Pesto</t>
        </is>
      </c>
      <c r="C51" t="inlineStr">
        <is>
          <t>2026-04</t>
        </is>
      </c>
      <c r="D51" t="inlineStr">
        <is>
          <t>SA</t>
        </is>
      </c>
      <c r="E51" t="n">
        <v>31</v>
      </c>
      <c r="F51" t="n">
        <v>2</v>
      </c>
      <c r="G51">
        <f>E51*F51</f>
        <v/>
      </c>
    </row>
    <row r="52">
      <c r="A52" t="inlineStr">
        <is>
          <t>Brioche Sandwich</t>
        </is>
      </c>
      <c r="B52" t="inlineStr">
        <is>
          <t>Streaky Beef Pesto</t>
        </is>
      </c>
      <c r="C52" t="inlineStr">
        <is>
          <t>2026-04</t>
        </is>
      </c>
      <c r="D52" t="inlineStr">
        <is>
          <t>TAM</t>
        </is>
      </c>
      <c r="E52" t="n">
        <v>52</v>
      </c>
      <c r="F52" t="n">
        <v>2</v>
      </c>
      <c r="G52">
        <f>E52*F52</f>
        <v/>
      </c>
    </row>
    <row r="53">
      <c r="A53" t="inlineStr">
        <is>
          <t>Brioche Sandwich</t>
        </is>
      </c>
      <c r="B53" t="inlineStr">
        <is>
          <t>Streaky Beef Pesto</t>
        </is>
      </c>
      <c r="C53" t="inlineStr">
        <is>
          <t>2026-05</t>
        </is>
      </c>
      <c r="D53" t="inlineStr">
        <is>
          <t>PJ</t>
        </is>
      </c>
      <c r="E53" t="n">
        <v>182</v>
      </c>
      <c r="F53" t="n">
        <v>2</v>
      </c>
      <c r="G53">
        <f>E53*F53</f>
        <v/>
      </c>
    </row>
    <row r="54">
      <c r="A54" t="inlineStr">
        <is>
          <t>Brioche Sandwich</t>
        </is>
      </c>
      <c r="B54" t="inlineStr">
        <is>
          <t>Streaky Beef Pesto</t>
        </is>
      </c>
      <c r="C54" t="inlineStr">
        <is>
          <t>2026-05</t>
        </is>
      </c>
      <c r="D54" t="inlineStr">
        <is>
          <t>SA</t>
        </is>
      </c>
      <c r="E54" t="n">
        <v>80</v>
      </c>
      <c r="F54" t="n">
        <v>2</v>
      </c>
      <c r="G54">
        <f>E54*F54</f>
        <v/>
      </c>
    </row>
    <row r="55">
      <c r="A55" t="inlineStr">
        <is>
          <t>Brioche Sandwich</t>
        </is>
      </c>
      <c r="B55" t="inlineStr">
        <is>
          <t>Streaky Beef Pesto</t>
        </is>
      </c>
      <c r="C55" t="inlineStr">
        <is>
          <t>2026-05</t>
        </is>
      </c>
      <c r="D55" t="inlineStr">
        <is>
          <t>TAM</t>
        </is>
      </c>
      <c r="E55" t="n">
        <v>41</v>
      </c>
      <c r="F55" t="n">
        <v>2</v>
      </c>
      <c r="G55">
        <f>E55*F55</f>
        <v/>
      </c>
    </row>
    <row r="56">
      <c r="A56" t="inlineStr">
        <is>
          <t>Brioche Sandwich</t>
        </is>
      </c>
      <c r="B56" t="inlineStr">
        <is>
          <t>Streaky Beef Pesto</t>
        </is>
      </c>
      <c r="C56" t="inlineStr">
        <is>
          <t>2026-06</t>
        </is>
      </c>
      <c r="D56" t="inlineStr">
        <is>
          <t>PJ</t>
        </is>
      </c>
      <c r="E56" t="n">
        <v>130</v>
      </c>
      <c r="F56" t="n">
        <v>2</v>
      </c>
      <c r="G56">
        <f>E56*F56</f>
        <v/>
      </c>
    </row>
    <row r="57">
      <c r="A57" t="inlineStr">
        <is>
          <t>Brioche Sandwich</t>
        </is>
      </c>
      <c r="B57" t="inlineStr">
        <is>
          <t>Streaky Beef Pesto</t>
        </is>
      </c>
      <c r="C57" t="inlineStr">
        <is>
          <t>2026-06</t>
        </is>
      </c>
      <c r="D57" t="inlineStr">
        <is>
          <t>SA</t>
        </is>
      </c>
      <c r="E57" t="n">
        <v>49</v>
      </c>
      <c r="F57" t="n">
        <v>2</v>
      </c>
      <c r="G57">
        <f>E57*F57</f>
        <v/>
      </c>
    </row>
    <row r="58">
      <c r="A58" t="inlineStr">
        <is>
          <t>Brioche Sandwich</t>
        </is>
      </c>
      <c r="B58" t="inlineStr">
        <is>
          <t>Streaky Beef Pesto</t>
        </is>
      </c>
      <c r="C58" t="inlineStr">
        <is>
          <t>2026-06</t>
        </is>
      </c>
      <c r="D58" t="inlineStr">
        <is>
          <t>TAM</t>
        </is>
      </c>
      <c r="E58" t="n">
        <v>55</v>
      </c>
      <c r="F58" t="n">
        <v>2</v>
      </c>
      <c r="G58">
        <f>E58*F58</f>
        <v/>
      </c>
    </row>
    <row r="59">
      <c r="A59" t="inlineStr">
        <is>
          <t>Brioche Sandwich</t>
        </is>
      </c>
      <c r="B59" t="inlineStr">
        <is>
          <t>Streaky Beef Pesto</t>
        </is>
      </c>
      <c r="C59" t="inlineStr">
        <is>
          <t>2026-07</t>
        </is>
      </c>
      <c r="D59" t="inlineStr">
        <is>
          <t>PJ</t>
        </is>
      </c>
      <c r="E59" t="n">
        <v>111</v>
      </c>
      <c r="F59" t="n">
        <v>2</v>
      </c>
      <c r="G59">
        <f>E59*F59</f>
        <v/>
      </c>
    </row>
    <row r="60">
      <c r="A60" t="inlineStr">
        <is>
          <t>Brioche Sandwich</t>
        </is>
      </c>
      <c r="B60" t="inlineStr">
        <is>
          <t>Streaky Beef Pesto</t>
        </is>
      </c>
      <c r="C60" t="inlineStr">
        <is>
          <t>2026-07</t>
        </is>
      </c>
      <c r="D60" t="inlineStr">
        <is>
          <t>SA</t>
        </is>
      </c>
      <c r="E60" t="n">
        <v>64</v>
      </c>
      <c r="F60" t="n">
        <v>2</v>
      </c>
      <c r="G60">
        <f>E60*F60</f>
        <v/>
      </c>
    </row>
    <row r="61">
      <c r="A61" t="inlineStr">
        <is>
          <t>Brioche Sandwich</t>
        </is>
      </c>
      <c r="B61" t="inlineStr">
        <is>
          <t>Streaky Beef Pesto</t>
        </is>
      </c>
      <c r="C61" t="inlineStr">
        <is>
          <t>2026-07</t>
        </is>
      </c>
      <c r="D61" t="inlineStr">
        <is>
          <t>TAM</t>
        </is>
      </c>
      <c r="E61" t="n">
        <v>46</v>
      </c>
      <c r="F61" t="n">
        <v>2</v>
      </c>
      <c r="G61">
        <f>E61*F61</f>
        <v/>
      </c>
    </row>
    <row r="62">
      <c r="A62" t="inlineStr">
        <is>
          <t>Burnt Cheesecake</t>
        </is>
      </c>
      <c r="B62" t="inlineStr">
        <is>
          <t>Burnt Cheesecake</t>
        </is>
      </c>
      <c r="C62" t="inlineStr">
        <is>
          <t>2026-04</t>
        </is>
      </c>
      <c r="D62" t="inlineStr">
        <is>
          <t>PJ</t>
        </is>
      </c>
      <c r="E62" t="n">
        <v>115</v>
      </c>
      <c r="F62" t="n">
        <v>1</v>
      </c>
      <c r="G62">
        <f>E62*F62</f>
        <v/>
      </c>
    </row>
    <row r="63">
      <c r="A63" t="inlineStr">
        <is>
          <t>Burnt Cheesecake</t>
        </is>
      </c>
      <c r="B63" t="inlineStr">
        <is>
          <t>Burnt Cheesecake</t>
        </is>
      </c>
      <c r="C63" t="inlineStr">
        <is>
          <t>2026-04</t>
        </is>
      </c>
      <c r="D63" t="inlineStr">
        <is>
          <t>SA</t>
        </is>
      </c>
      <c r="E63" t="n">
        <v>83</v>
      </c>
      <c r="F63" t="n">
        <v>1</v>
      </c>
      <c r="G63">
        <f>E63*F63</f>
        <v/>
      </c>
    </row>
    <row r="64">
      <c r="A64" t="inlineStr">
        <is>
          <t>Burnt Cheesecake</t>
        </is>
      </c>
      <c r="B64" t="inlineStr">
        <is>
          <t>Burnt Cheesecake</t>
        </is>
      </c>
      <c r="C64" t="inlineStr">
        <is>
          <t>2026-04</t>
        </is>
      </c>
      <c r="D64" t="inlineStr">
        <is>
          <t>TAM</t>
        </is>
      </c>
      <c r="E64" t="n">
        <v>106</v>
      </c>
      <c r="F64" t="n">
        <v>1</v>
      </c>
      <c r="G64">
        <f>E64*F64</f>
        <v/>
      </c>
    </row>
    <row r="65">
      <c r="A65" t="inlineStr">
        <is>
          <t>Burnt Cheesecake</t>
        </is>
      </c>
      <c r="B65" t="inlineStr">
        <is>
          <t>Burnt Cheesecake</t>
        </is>
      </c>
      <c r="C65" t="inlineStr">
        <is>
          <t>2026-05</t>
        </is>
      </c>
      <c r="D65" t="inlineStr">
        <is>
          <t>PJ</t>
        </is>
      </c>
      <c r="E65" t="n">
        <v>112</v>
      </c>
      <c r="F65" t="n">
        <v>1</v>
      </c>
      <c r="G65">
        <f>E65*F65</f>
        <v/>
      </c>
    </row>
    <row r="66">
      <c r="A66" t="inlineStr">
        <is>
          <t>Burnt Cheesecake</t>
        </is>
      </c>
      <c r="B66" t="inlineStr">
        <is>
          <t>Burnt Cheesecake</t>
        </is>
      </c>
      <c r="C66" t="inlineStr">
        <is>
          <t>2026-05</t>
        </is>
      </c>
      <c r="D66" t="inlineStr">
        <is>
          <t>SA</t>
        </is>
      </c>
      <c r="E66" t="n">
        <v>133</v>
      </c>
      <c r="F66" t="n">
        <v>1</v>
      </c>
      <c r="G66">
        <f>E66*F66</f>
        <v/>
      </c>
    </row>
    <row r="67">
      <c r="A67" t="inlineStr">
        <is>
          <t>Burnt Cheesecake</t>
        </is>
      </c>
      <c r="B67" t="inlineStr">
        <is>
          <t>Burnt Cheesecake</t>
        </is>
      </c>
      <c r="C67" t="inlineStr">
        <is>
          <t>2026-05</t>
        </is>
      </c>
      <c r="D67" t="inlineStr">
        <is>
          <t>TAM</t>
        </is>
      </c>
      <c r="E67" t="n">
        <v>108</v>
      </c>
      <c r="F67" t="n">
        <v>1</v>
      </c>
      <c r="G67">
        <f>E67*F67</f>
        <v/>
      </c>
    </row>
    <row r="68">
      <c r="A68" t="inlineStr">
        <is>
          <t>Burnt Cheesecake</t>
        </is>
      </c>
      <c r="B68" t="inlineStr">
        <is>
          <t>Burnt Cheesecake</t>
        </is>
      </c>
      <c r="C68" t="inlineStr">
        <is>
          <t>2026-06</t>
        </is>
      </c>
      <c r="D68" t="inlineStr">
        <is>
          <t>PJ</t>
        </is>
      </c>
      <c r="E68" t="n">
        <v>82</v>
      </c>
      <c r="F68" t="n">
        <v>1</v>
      </c>
      <c r="G68">
        <f>E68*F68</f>
        <v/>
      </c>
    </row>
    <row r="69">
      <c r="A69" t="inlineStr">
        <is>
          <t>Burnt Cheesecake</t>
        </is>
      </c>
      <c r="B69" t="inlineStr">
        <is>
          <t>Burnt Cheesecake</t>
        </is>
      </c>
      <c r="C69" t="inlineStr">
        <is>
          <t>2026-06</t>
        </is>
      </c>
      <c r="D69" t="inlineStr">
        <is>
          <t>SA</t>
        </is>
      </c>
      <c r="E69" t="n">
        <v>59</v>
      </c>
      <c r="F69" t="n">
        <v>1</v>
      </c>
      <c r="G69">
        <f>E69*F69</f>
        <v/>
      </c>
    </row>
    <row r="70">
      <c r="A70" t="inlineStr">
        <is>
          <t>Burnt Cheesecake</t>
        </is>
      </c>
      <c r="B70" t="inlineStr">
        <is>
          <t>Burnt Cheesecake</t>
        </is>
      </c>
      <c r="C70" t="inlineStr">
        <is>
          <t>2026-06</t>
        </is>
      </c>
      <c r="D70" t="inlineStr">
        <is>
          <t>TAM</t>
        </is>
      </c>
      <c r="E70" t="n">
        <v>58</v>
      </c>
      <c r="F70" t="n">
        <v>1</v>
      </c>
      <c r="G70">
        <f>E70*F70</f>
        <v/>
      </c>
    </row>
    <row r="71">
      <c r="A71" t="inlineStr">
        <is>
          <t>Burnt Cheesecake</t>
        </is>
      </c>
      <c r="B71" t="inlineStr">
        <is>
          <t>Burnt Cheesecake</t>
        </is>
      </c>
      <c r="C71" t="inlineStr">
        <is>
          <t>2026-07</t>
        </is>
      </c>
      <c r="D71" t="inlineStr">
        <is>
          <t>PJ</t>
        </is>
      </c>
      <c r="E71" t="n">
        <v>62</v>
      </c>
      <c r="F71" t="n">
        <v>1</v>
      </c>
      <c r="G71">
        <f>E71*F71</f>
        <v/>
      </c>
    </row>
    <row r="72">
      <c r="A72" t="inlineStr">
        <is>
          <t>Burnt Cheesecake</t>
        </is>
      </c>
      <c r="B72" t="inlineStr">
        <is>
          <t>Burnt Cheesecake</t>
        </is>
      </c>
      <c r="C72" t="inlineStr">
        <is>
          <t>2026-07</t>
        </is>
      </c>
      <c r="D72" t="inlineStr">
        <is>
          <t>SA</t>
        </is>
      </c>
      <c r="E72" t="n">
        <v>36</v>
      </c>
      <c r="F72" t="n">
        <v>1</v>
      </c>
      <c r="G72">
        <f>E72*F72</f>
        <v/>
      </c>
    </row>
    <row r="73">
      <c r="A73" t="inlineStr">
        <is>
          <t>Burnt Cheesecake</t>
        </is>
      </c>
      <c r="B73" t="inlineStr">
        <is>
          <t>Burnt Cheesecake</t>
        </is>
      </c>
      <c r="C73" t="inlineStr">
        <is>
          <t>2026-07</t>
        </is>
      </c>
      <c r="D73" t="inlineStr">
        <is>
          <t>TAM</t>
        </is>
      </c>
      <c r="E73" t="n">
        <v>62</v>
      </c>
      <c r="F73" t="n">
        <v>1</v>
      </c>
      <c r="G73">
        <f>E73*F73</f>
        <v/>
      </c>
    </row>
    <row r="74">
      <c r="A74" t="inlineStr">
        <is>
          <t>Fresh Milk</t>
        </is>
      </c>
      <c r="B74" t="inlineStr">
        <is>
          <t>Buttercream Chocolate</t>
        </is>
      </c>
      <c r="C74" t="inlineStr">
        <is>
          <t>2026-04</t>
        </is>
      </c>
      <c r="D74" t="inlineStr">
        <is>
          <t>PJ</t>
        </is>
      </c>
      <c r="E74" t="n">
        <v>150</v>
      </c>
      <c r="F74" t="n">
        <v>140</v>
      </c>
      <c r="G74">
        <f>E74*F74</f>
        <v/>
      </c>
    </row>
    <row r="75">
      <c r="A75" t="inlineStr">
        <is>
          <t>Fresh Milk</t>
        </is>
      </c>
      <c r="B75" t="inlineStr">
        <is>
          <t>Buttercream Chocolate</t>
        </is>
      </c>
      <c r="C75" t="inlineStr">
        <is>
          <t>2026-04</t>
        </is>
      </c>
      <c r="D75" t="inlineStr">
        <is>
          <t>SA</t>
        </is>
      </c>
      <c r="E75" t="n">
        <v>186</v>
      </c>
      <c r="F75" t="n">
        <v>140</v>
      </c>
      <c r="G75">
        <f>E75*F75</f>
        <v/>
      </c>
    </row>
    <row r="76">
      <c r="A76" t="inlineStr">
        <is>
          <t>Fresh Milk</t>
        </is>
      </c>
      <c r="B76" t="inlineStr">
        <is>
          <t>Buttercream Chocolate</t>
        </is>
      </c>
      <c r="C76" t="inlineStr">
        <is>
          <t>2026-04</t>
        </is>
      </c>
      <c r="D76" t="inlineStr">
        <is>
          <t>TAM</t>
        </is>
      </c>
      <c r="E76" t="n">
        <v>104</v>
      </c>
      <c r="F76" t="n">
        <v>140</v>
      </c>
      <c r="G76">
        <f>E76*F76</f>
        <v/>
      </c>
    </row>
    <row r="77">
      <c r="A77" t="inlineStr">
        <is>
          <t>Fresh Milk</t>
        </is>
      </c>
      <c r="B77" t="inlineStr">
        <is>
          <t>Buttercream Chocolate</t>
        </is>
      </c>
      <c r="C77" t="inlineStr">
        <is>
          <t>2026-05</t>
        </is>
      </c>
      <c r="D77" t="inlineStr">
        <is>
          <t>PJ</t>
        </is>
      </c>
      <c r="E77" t="n">
        <v>188</v>
      </c>
      <c r="F77" t="n">
        <v>140</v>
      </c>
      <c r="G77">
        <f>E77*F77</f>
        <v/>
      </c>
    </row>
    <row r="78">
      <c r="A78" t="inlineStr">
        <is>
          <t>Fresh Milk</t>
        </is>
      </c>
      <c r="B78" t="inlineStr">
        <is>
          <t>Buttercream Chocolate</t>
        </is>
      </c>
      <c r="C78" t="inlineStr">
        <is>
          <t>2026-05</t>
        </is>
      </c>
      <c r="D78" t="inlineStr">
        <is>
          <t>SA</t>
        </is>
      </c>
      <c r="E78" t="n">
        <v>209</v>
      </c>
      <c r="F78" t="n">
        <v>140</v>
      </c>
      <c r="G78">
        <f>E78*F78</f>
        <v/>
      </c>
    </row>
    <row r="79">
      <c r="A79" t="inlineStr">
        <is>
          <t>Fresh Milk</t>
        </is>
      </c>
      <c r="B79" t="inlineStr">
        <is>
          <t>Buttercream Chocolate</t>
        </is>
      </c>
      <c r="C79" t="inlineStr">
        <is>
          <t>2026-05</t>
        </is>
      </c>
      <c r="D79" t="inlineStr">
        <is>
          <t>TAM</t>
        </is>
      </c>
      <c r="E79" t="n">
        <v>106</v>
      </c>
      <c r="F79" t="n">
        <v>140</v>
      </c>
      <c r="G79">
        <f>E79*F79</f>
        <v/>
      </c>
    </row>
    <row r="80">
      <c r="A80" t="inlineStr">
        <is>
          <t>Fresh Milk</t>
        </is>
      </c>
      <c r="B80" t="inlineStr">
        <is>
          <t>Buttercream Chocolate</t>
        </is>
      </c>
      <c r="C80" t="inlineStr">
        <is>
          <t>2026-06</t>
        </is>
      </c>
      <c r="D80" t="inlineStr">
        <is>
          <t>PJ</t>
        </is>
      </c>
      <c r="E80" t="n">
        <v>92</v>
      </c>
      <c r="F80" t="n">
        <v>140</v>
      </c>
      <c r="G80">
        <f>E80*F80</f>
        <v/>
      </c>
    </row>
    <row r="81">
      <c r="A81" t="inlineStr">
        <is>
          <t>Fresh Milk</t>
        </is>
      </c>
      <c r="B81" t="inlineStr">
        <is>
          <t>Buttercream Chocolate</t>
        </is>
      </c>
      <c r="C81" t="inlineStr">
        <is>
          <t>2026-06</t>
        </is>
      </c>
      <c r="D81" t="inlineStr">
        <is>
          <t>SA</t>
        </is>
      </c>
      <c r="E81" t="n">
        <v>179</v>
      </c>
      <c r="F81" t="n">
        <v>140</v>
      </c>
      <c r="G81">
        <f>E81*F81</f>
        <v/>
      </c>
    </row>
    <row r="82">
      <c r="A82" t="inlineStr">
        <is>
          <t>Fresh Milk</t>
        </is>
      </c>
      <c r="B82" t="inlineStr">
        <is>
          <t>Buttercream Chocolate</t>
        </is>
      </c>
      <c r="C82" t="inlineStr">
        <is>
          <t>2026-06</t>
        </is>
      </c>
      <c r="D82" t="inlineStr">
        <is>
          <t>TAM</t>
        </is>
      </c>
      <c r="E82" t="n">
        <v>91</v>
      </c>
      <c r="F82" t="n">
        <v>140</v>
      </c>
      <c r="G82">
        <f>E82*F82</f>
        <v/>
      </c>
    </row>
    <row r="83">
      <c r="A83" t="inlineStr">
        <is>
          <t>Fresh Milk</t>
        </is>
      </c>
      <c r="B83" t="inlineStr">
        <is>
          <t>Buttercream Chocolate</t>
        </is>
      </c>
      <c r="C83" t="inlineStr">
        <is>
          <t>2026-07</t>
        </is>
      </c>
      <c r="D83" t="inlineStr">
        <is>
          <t>PJ</t>
        </is>
      </c>
      <c r="E83" t="n">
        <v>104</v>
      </c>
      <c r="F83" t="n">
        <v>140</v>
      </c>
      <c r="G83">
        <f>E83*F83</f>
        <v/>
      </c>
    </row>
    <row r="84">
      <c r="A84" t="inlineStr">
        <is>
          <t>Fresh Milk</t>
        </is>
      </c>
      <c r="B84" t="inlineStr">
        <is>
          <t>Buttercream Chocolate</t>
        </is>
      </c>
      <c r="C84" t="inlineStr">
        <is>
          <t>2026-07</t>
        </is>
      </c>
      <c r="D84" t="inlineStr">
        <is>
          <t>SA</t>
        </is>
      </c>
      <c r="E84" t="n">
        <v>130</v>
      </c>
      <c r="F84" t="n">
        <v>140</v>
      </c>
      <c r="G84">
        <f>E84*F84</f>
        <v/>
      </c>
    </row>
    <row r="85">
      <c r="A85" t="inlineStr">
        <is>
          <t>Fresh Milk</t>
        </is>
      </c>
      <c r="B85" t="inlineStr">
        <is>
          <t>Buttercream Chocolate</t>
        </is>
      </c>
      <c r="C85" t="inlineStr">
        <is>
          <t>2026-07</t>
        </is>
      </c>
      <c r="D85" t="inlineStr">
        <is>
          <t>TAM</t>
        </is>
      </c>
      <c r="E85" t="n">
        <v>82</v>
      </c>
      <c r="F85" t="n">
        <v>140</v>
      </c>
      <c r="G85">
        <f>E85*F85</f>
        <v/>
      </c>
    </row>
    <row r="86">
      <c r="A86" t="inlineStr">
        <is>
          <t>Fresh Milk</t>
        </is>
      </c>
      <c r="B86" t="inlineStr">
        <is>
          <t>Buttercream Latte</t>
        </is>
      </c>
      <c r="C86" t="inlineStr">
        <is>
          <t>2026-04</t>
        </is>
      </c>
      <c r="D86" t="inlineStr">
        <is>
          <t>PJ</t>
        </is>
      </c>
      <c r="E86" t="n">
        <v>642</v>
      </c>
      <c r="F86" t="n">
        <v>140</v>
      </c>
      <c r="G86">
        <f>E86*F86</f>
        <v/>
      </c>
    </row>
    <row r="87">
      <c r="A87" t="inlineStr">
        <is>
          <t>Fresh Milk</t>
        </is>
      </c>
      <c r="B87" t="inlineStr">
        <is>
          <t>Buttercream Latte</t>
        </is>
      </c>
      <c r="C87" t="inlineStr">
        <is>
          <t>2026-04</t>
        </is>
      </c>
      <c r="D87" t="inlineStr">
        <is>
          <t>SA</t>
        </is>
      </c>
      <c r="E87" t="n">
        <v>446</v>
      </c>
      <c r="F87" t="n">
        <v>140</v>
      </c>
      <c r="G87">
        <f>E87*F87</f>
        <v/>
      </c>
    </row>
    <row r="88">
      <c r="A88" t="inlineStr">
        <is>
          <t>Fresh Milk</t>
        </is>
      </c>
      <c r="B88" t="inlineStr">
        <is>
          <t>Buttercream Latte</t>
        </is>
      </c>
      <c r="C88" t="inlineStr">
        <is>
          <t>2026-04</t>
        </is>
      </c>
      <c r="D88" t="inlineStr">
        <is>
          <t>TAM</t>
        </is>
      </c>
      <c r="E88" t="n">
        <v>516</v>
      </c>
      <c r="F88" t="n">
        <v>140</v>
      </c>
      <c r="G88">
        <f>E88*F88</f>
        <v/>
      </c>
    </row>
    <row r="89">
      <c r="A89" t="inlineStr">
        <is>
          <t>Fresh Milk</t>
        </is>
      </c>
      <c r="B89" t="inlineStr">
        <is>
          <t>Buttercream Latte</t>
        </is>
      </c>
      <c r="C89" t="inlineStr">
        <is>
          <t>2026-05</t>
        </is>
      </c>
      <c r="D89" t="inlineStr">
        <is>
          <t>PJ</t>
        </is>
      </c>
      <c r="E89" t="n">
        <v>536</v>
      </c>
      <c r="F89" t="n">
        <v>140</v>
      </c>
      <c r="G89">
        <f>E89*F89</f>
        <v/>
      </c>
    </row>
    <row r="90">
      <c r="A90" t="inlineStr">
        <is>
          <t>Fresh Milk</t>
        </is>
      </c>
      <c r="B90" t="inlineStr">
        <is>
          <t>Buttercream Latte</t>
        </is>
      </c>
      <c r="C90" t="inlineStr">
        <is>
          <t>2026-05</t>
        </is>
      </c>
      <c r="D90" t="inlineStr">
        <is>
          <t>SA</t>
        </is>
      </c>
      <c r="E90" t="n">
        <v>531</v>
      </c>
      <c r="F90" t="n">
        <v>140</v>
      </c>
      <c r="G90">
        <f>E90*F90</f>
        <v/>
      </c>
    </row>
    <row r="91">
      <c r="A91" t="inlineStr">
        <is>
          <t>Fresh Milk</t>
        </is>
      </c>
      <c r="B91" t="inlineStr">
        <is>
          <t>Buttercream Latte</t>
        </is>
      </c>
      <c r="C91" t="inlineStr">
        <is>
          <t>2026-05</t>
        </is>
      </c>
      <c r="D91" t="inlineStr">
        <is>
          <t>TAM</t>
        </is>
      </c>
      <c r="E91" t="n">
        <v>475</v>
      </c>
      <c r="F91" t="n">
        <v>140</v>
      </c>
      <c r="G91">
        <f>E91*F91</f>
        <v/>
      </c>
    </row>
    <row r="92">
      <c r="A92" t="inlineStr">
        <is>
          <t>Fresh Milk</t>
        </is>
      </c>
      <c r="B92" t="inlineStr">
        <is>
          <t>Buttercream Latte</t>
        </is>
      </c>
      <c r="C92" t="inlineStr">
        <is>
          <t>2026-06</t>
        </is>
      </c>
      <c r="D92" t="inlineStr">
        <is>
          <t>PJ</t>
        </is>
      </c>
      <c r="E92" t="n">
        <v>418</v>
      </c>
      <c r="F92" t="n">
        <v>140</v>
      </c>
      <c r="G92">
        <f>E92*F92</f>
        <v/>
      </c>
    </row>
    <row r="93">
      <c r="A93" t="inlineStr">
        <is>
          <t>Fresh Milk</t>
        </is>
      </c>
      <c r="B93" t="inlineStr">
        <is>
          <t>Buttercream Latte</t>
        </is>
      </c>
      <c r="C93" t="inlineStr">
        <is>
          <t>2026-06</t>
        </is>
      </c>
      <c r="D93" t="inlineStr">
        <is>
          <t>SA</t>
        </is>
      </c>
      <c r="E93" t="n">
        <v>447</v>
      </c>
      <c r="F93" t="n">
        <v>140</v>
      </c>
      <c r="G93">
        <f>E93*F93</f>
        <v/>
      </c>
    </row>
    <row r="94">
      <c r="A94" t="inlineStr">
        <is>
          <t>Fresh Milk</t>
        </is>
      </c>
      <c r="B94" t="inlineStr">
        <is>
          <t>Buttercream Latte</t>
        </is>
      </c>
      <c r="C94" t="inlineStr">
        <is>
          <t>2026-06</t>
        </is>
      </c>
      <c r="D94" t="inlineStr">
        <is>
          <t>TAM</t>
        </is>
      </c>
      <c r="E94" t="n">
        <v>418</v>
      </c>
      <c r="F94" t="n">
        <v>140</v>
      </c>
      <c r="G94">
        <f>E94*F94</f>
        <v/>
      </c>
    </row>
    <row r="95">
      <c r="A95" t="inlineStr">
        <is>
          <t>Fresh Milk</t>
        </is>
      </c>
      <c r="B95" t="inlineStr">
        <is>
          <t>Buttercream Latte</t>
        </is>
      </c>
      <c r="C95" t="inlineStr">
        <is>
          <t>2026-07</t>
        </is>
      </c>
      <c r="D95" t="inlineStr">
        <is>
          <t>PJ</t>
        </is>
      </c>
      <c r="E95" t="n">
        <v>325</v>
      </c>
      <c r="F95" t="n">
        <v>140</v>
      </c>
      <c r="G95">
        <f>E95*F95</f>
        <v/>
      </c>
    </row>
    <row r="96">
      <c r="A96" t="inlineStr">
        <is>
          <t>Fresh Milk</t>
        </is>
      </c>
      <c r="B96" t="inlineStr">
        <is>
          <t>Buttercream Latte</t>
        </is>
      </c>
      <c r="C96" t="inlineStr">
        <is>
          <t>2026-07</t>
        </is>
      </c>
      <c r="D96" t="inlineStr">
        <is>
          <t>SA</t>
        </is>
      </c>
      <c r="E96" t="n">
        <v>359</v>
      </c>
      <c r="F96" t="n">
        <v>140</v>
      </c>
      <c r="G96">
        <f>E96*F96</f>
        <v/>
      </c>
    </row>
    <row r="97">
      <c r="A97" t="inlineStr">
        <is>
          <t>Fresh Milk</t>
        </is>
      </c>
      <c r="B97" t="inlineStr">
        <is>
          <t>Buttercream Latte</t>
        </is>
      </c>
      <c r="C97" t="inlineStr">
        <is>
          <t>2026-07</t>
        </is>
      </c>
      <c r="D97" t="inlineStr">
        <is>
          <t>TAM</t>
        </is>
      </c>
      <c r="E97" t="n">
        <v>363</v>
      </c>
      <c r="F97" t="n">
        <v>140</v>
      </c>
      <c r="G97">
        <f>E97*F97</f>
        <v/>
      </c>
    </row>
    <row r="98">
      <c r="A98" t="inlineStr">
        <is>
          <t>Fresh Milk</t>
        </is>
      </c>
      <c r="B98" t="inlineStr">
        <is>
          <t>Cappucino</t>
        </is>
      </c>
      <c r="C98" t="inlineStr">
        <is>
          <t>2026-04</t>
        </is>
      </c>
      <c r="D98" t="inlineStr">
        <is>
          <t>PJ</t>
        </is>
      </c>
      <c r="E98" t="n">
        <v>231</v>
      </c>
      <c r="F98" t="n">
        <v>120</v>
      </c>
      <c r="G98">
        <f>E98*F98</f>
        <v/>
      </c>
    </row>
    <row r="99">
      <c r="A99" t="inlineStr">
        <is>
          <t>Fresh Milk</t>
        </is>
      </c>
      <c r="B99" t="inlineStr">
        <is>
          <t>Cappucino</t>
        </is>
      </c>
      <c r="C99" t="inlineStr">
        <is>
          <t>2026-04</t>
        </is>
      </c>
      <c r="D99" t="inlineStr">
        <is>
          <t>SA</t>
        </is>
      </c>
      <c r="E99" t="n">
        <v>116</v>
      </c>
      <c r="F99" t="n">
        <v>120</v>
      </c>
      <c r="G99">
        <f>E99*F99</f>
        <v/>
      </c>
    </row>
    <row r="100">
      <c r="A100" t="inlineStr">
        <is>
          <t>Fresh Milk</t>
        </is>
      </c>
      <c r="B100" t="inlineStr">
        <is>
          <t>Cappucino</t>
        </is>
      </c>
      <c r="C100" t="inlineStr">
        <is>
          <t>2026-04</t>
        </is>
      </c>
      <c r="D100" t="inlineStr">
        <is>
          <t>TAM</t>
        </is>
      </c>
      <c r="E100" t="n">
        <v>125</v>
      </c>
      <c r="F100" t="n">
        <v>120</v>
      </c>
      <c r="G100">
        <f>E100*F100</f>
        <v/>
      </c>
    </row>
    <row r="101">
      <c r="A101" t="inlineStr">
        <is>
          <t>Fresh Milk</t>
        </is>
      </c>
      <c r="B101" t="inlineStr">
        <is>
          <t>Cappucino</t>
        </is>
      </c>
      <c r="C101" t="inlineStr">
        <is>
          <t>2026-05</t>
        </is>
      </c>
      <c r="D101" t="inlineStr">
        <is>
          <t>PJ</t>
        </is>
      </c>
      <c r="E101" t="n">
        <v>257</v>
      </c>
      <c r="F101" t="n">
        <v>120</v>
      </c>
      <c r="G101">
        <f>E101*F101</f>
        <v/>
      </c>
    </row>
    <row r="102">
      <c r="A102" t="inlineStr">
        <is>
          <t>Fresh Milk</t>
        </is>
      </c>
      <c r="B102" t="inlineStr">
        <is>
          <t>Cappucino</t>
        </is>
      </c>
      <c r="C102" t="inlineStr">
        <is>
          <t>2026-05</t>
        </is>
      </c>
      <c r="D102" t="inlineStr">
        <is>
          <t>SA</t>
        </is>
      </c>
      <c r="E102" t="n">
        <v>121</v>
      </c>
      <c r="F102" t="n">
        <v>120</v>
      </c>
      <c r="G102">
        <f>E102*F102</f>
        <v/>
      </c>
    </row>
    <row r="103">
      <c r="A103" t="inlineStr">
        <is>
          <t>Fresh Milk</t>
        </is>
      </c>
      <c r="B103" t="inlineStr">
        <is>
          <t>Cappucino</t>
        </is>
      </c>
      <c r="C103" t="inlineStr">
        <is>
          <t>2026-05</t>
        </is>
      </c>
      <c r="D103" t="inlineStr">
        <is>
          <t>TAM</t>
        </is>
      </c>
      <c r="E103" t="n">
        <v>149</v>
      </c>
      <c r="F103" t="n">
        <v>120</v>
      </c>
      <c r="G103">
        <f>E103*F103</f>
        <v/>
      </c>
    </row>
    <row r="104">
      <c r="A104" t="inlineStr">
        <is>
          <t>Fresh Milk</t>
        </is>
      </c>
      <c r="B104" t="inlineStr">
        <is>
          <t>Cappucino</t>
        </is>
      </c>
      <c r="C104" t="inlineStr">
        <is>
          <t>2026-06</t>
        </is>
      </c>
      <c r="D104" t="inlineStr">
        <is>
          <t>PJ</t>
        </is>
      </c>
      <c r="E104" t="n">
        <v>209</v>
      </c>
      <c r="F104" t="n">
        <v>120</v>
      </c>
      <c r="G104">
        <f>E104*F104</f>
        <v/>
      </c>
    </row>
    <row r="105">
      <c r="A105" t="inlineStr">
        <is>
          <t>Fresh Milk</t>
        </is>
      </c>
      <c r="B105" t="inlineStr">
        <is>
          <t>Cappucino</t>
        </is>
      </c>
      <c r="C105" t="inlineStr">
        <is>
          <t>2026-06</t>
        </is>
      </c>
      <c r="D105" t="inlineStr">
        <is>
          <t>SA</t>
        </is>
      </c>
      <c r="E105" t="n">
        <v>96</v>
      </c>
      <c r="F105" t="n">
        <v>120</v>
      </c>
      <c r="G105">
        <f>E105*F105</f>
        <v/>
      </c>
    </row>
    <row r="106">
      <c r="A106" t="inlineStr">
        <is>
          <t>Fresh Milk</t>
        </is>
      </c>
      <c r="B106" t="inlineStr">
        <is>
          <t>Cappucino</t>
        </is>
      </c>
      <c r="C106" t="inlineStr">
        <is>
          <t>2026-06</t>
        </is>
      </c>
      <c r="D106" t="inlineStr">
        <is>
          <t>TAM</t>
        </is>
      </c>
      <c r="E106" t="n">
        <v>143</v>
      </c>
      <c r="F106" t="n">
        <v>120</v>
      </c>
      <c r="G106">
        <f>E106*F106</f>
        <v/>
      </c>
    </row>
    <row r="107">
      <c r="A107" t="inlineStr">
        <is>
          <t>Fresh Milk</t>
        </is>
      </c>
      <c r="B107" t="inlineStr">
        <is>
          <t>Cappucino</t>
        </is>
      </c>
      <c r="C107" t="inlineStr">
        <is>
          <t>2026-07</t>
        </is>
      </c>
      <c r="D107" t="inlineStr">
        <is>
          <t>PJ</t>
        </is>
      </c>
      <c r="E107" t="n">
        <v>182</v>
      </c>
      <c r="F107" t="n">
        <v>120</v>
      </c>
      <c r="G107">
        <f>E107*F107</f>
        <v/>
      </c>
    </row>
    <row r="108">
      <c r="A108" t="inlineStr">
        <is>
          <t>Fresh Milk</t>
        </is>
      </c>
      <c r="B108" t="inlineStr">
        <is>
          <t>Cappucino</t>
        </is>
      </c>
      <c r="C108" t="inlineStr">
        <is>
          <t>2026-07</t>
        </is>
      </c>
      <c r="D108" t="inlineStr">
        <is>
          <t>SA</t>
        </is>
      </c>
      <c r="E108" t="n">
        <v>99</v>
      </c>
      <c r="F108" t="n">
        <v>120</v>
      </c>
      <c r="G108">
        <f>E108*F108</f>
        <v/>
      </c>
    </row>
    <row r="109">
      <c r="A109" t="inlineStr">
        <is>
          <t>Fresh Milk</t>
        </is>
      </c>
      <c r="B109" t="inlineStr">
        <is>
          <t>Cappucino</t>
        </is>
      </c>
      <c r="C109" t="inlineStr">
        <is>
          <t>2026-07</t>
        </is>
      </c>
      <c r="D109" t="inlineStr">
        <is>
          <t>TAM</t>
        </is>
      </c>
      <c r="E109" t="n">
        <v>141</v>
      </c>
      <c r="F109" t="n">
        <v>120</v>
      </c>
      <c r="G109">
        <f>E109*F109</f>
        <v/>
      </c>
    </row>
    <row r="110">
      <c r="A110" t="inlineStr">
        <is>
          <t>Fresh Milk</t>
        </is>
      </c>
      <c r="B110" t="inlineStr">
        <is>
          <t>Caramel Latte</t>
        </is>
      </c>
      <c r="C110" t="inlineStr">
        <is>
          <t>2026-04</t>
        </is>
      </c>
      <c r="D110" t="inlineStr">
        <is>
          <t>PJ</t>
        </is>
      </c>
      <c r="E110" t="n">
        <v>114</v>
      </c>
      <c r="F110" t="n">
        <v>120</v>
      </c>
      <c r="G110">
        <f>E110*F110</f>
        <v/>
      </c>
    </row>
    <row r="111">
      <c r="A111" t="inlineStr">
        <is>
          <t>Fresh Milk</t>
        </is>
      </c>
      <c r="B111" t="inlineStr">
        <is>
          <t>Caramel Latte</t>
        </is>
      </c>
      <c r="C111" t="inlineStr">
        <is>
          <t>2026-04</t>
        </is>
      </c>
      <c r="D111" t="inlineStr">
        <is>
          <t>SA</t>
        </is>
      </c>
      <c r="E111" t="n">
        <v>87</v>
      </c>
      <c r="F111" t="n">
        <v>120</v>
      </c>
      <c r="G111">
        <f>E111*F111</f>
        <v/>
      </c>
    </row>
    <row r="112">
      <c r="A112" t="inlineStr">
        <is>
          <t>Fresh Milk</t>
        </is>
      </c>
      <c r="B112" t="inlineStr">
        <is>
          <t>Caramel Latte</t>
        </is>
      </c>
      <c r="C112" t="inlineStr">
        <is>
          <t>2026-04</t>
        </is>
      </c>
      <c r="D112" t="inlineStr">
        <is>
          <t>TAM</t>
        </is>
      </c>
      <c r="E112" t="n">
        <v>107</v>
      </c>
      <c r="F112" t="n">
        <v>120</v>
      </c>
      <c r="G112">
        <f>E112*F112</f>
        <v/>
      </c>
    </row>
    <row r="113">
      <c r="A113" t="inlineStr">
        <is>
          <t>Fresh Milk</t>
        </is>
      </c>
      <c r="B113" t="inlineStr">
        <is>
          <t>Caramel Latte</t>
        </is>
      </c>
      <c r="C113" t="inlineStr">
        <is>
          <t>2026-05</t>
        </is>
      </c>
      <c r="D113" t="inlineStr">
        <is>
          <t>PJ</t>
        </is>
      </c>
      <c r="E113" t="n">
        <v>109</v>
      </c>
      <c r="F113" t="n">
        <v>120</v>
      </c>
      <c r="G113">
        <f>E113*F113</f>
        <v/>
      </c>
    </row>
    <row r="114">
      <c r="A114" t="inlineStr">
        <is>
          <t>Fresh Milk</t>
        </is>
      </c>
      <c r="B114" t="inlineStr">
        <is>
          <t>Caramel Latte</t>
        </is>
      </c>
      <c r="C114" t="inlineStr">
        <is>
          <t>2026-05</t>
        </is>
      </c>
      <c r="D114" t="inlineStr">
        <is>
          <t>SA</t>
        </is>
      </c>
      <c r="E114" t="n">
        <v>80</v>
      </c>
      <c r="F114" t="n">
        <v>120</v>
      </c>
      <c r="G114">
        <f>E114*F114</f>
        <v/>
      </c>
    </row>
    <row r="115">
      <c r="A115" t="inlineStr">
        <is>
          <t>Fresh Milk</t>
        </is>
      </c>
      <c r="B115" t="inlineStr">
        <is>
          <t>Caramel Latte</t>
        </is>
      </c>
      <c r="C115" t="inlineStr">
        <is>
          <t>2026-05</t>
        </is>
      </c>
      <c r="D115" t="inlineStr">
        <is>
          <t>TAM</t>
        </is>
      </c>
      <c r="E115" t="n">
        <v>88</v>
      </c>
      <c r="F115" t="n">
        <v>120</v>
      </c>
      <c r="G115">
        <f>E115*F115</f>
        <v/>
      </c>
    </row>
    <row r="116">
      <c r="A116" t="inlineStr">
        <is>
          <t>Fresh Milk</t>
        </is>
      </c>
      <c r="B116" t="inlineStr">
        <is>
          <t>Caramel Latte</t>
        </is>
      </c>
      <c r="C116" t="inlineStr">
        <is>
          <t>2026-06</t>
        </is>
      </c>
      <c r="D116" t="inlineStr">
        <is>
          <t>PJ</t>
        </is>
      </c>
      <c r="E116" t="n">
        <v>109</v>
      </c>
      <c r="F116" t="n">
        <v>120</v>
      </c>
      <c r="G116">
        <f>E116*F116</f>
        <v/>
      </c>
    </row>
    <row r="117">
      <c r="A117" t="inlineStr">
        <is>
          <t>Fresh Milk</t>
        </is>
      </c>
      <c r="B117" t="inlineStr">
        <is>
          <t>Caramel Latte</t>
        </is>
      </c>
      <c r="C117" t="inlineStr">
        <is>
          <t>2026-06</t>
        </is>
      </c>
      <c r="D117" t="inlineStr">
        <is>
          <t>SA</t>
        </is>
      </c>
      <c r="E117" t="n">
        <v>70</v>
      </c>
      <c r="F117" t="n">
        <v>120</v>
      </c>
      <c r="G117">
        <f>E117*F117</f>
        <v/>
      </c>
    </row>
    <row r="118">
      <c r="A118" t="inlineStr">
        <is>
          <t>Fresh Milk</t>
        </is>
      </c>
      <c r="B118" t="inlineStr">
        <is>
          <t>Caramel Latte</t>
        </is>
      </c>
      <c r="C118" t="inlineStr">
        <is>
          <t>2026-06</t>
        </is>
      </c>
      <c r="D118" t="inlineStr">
        <is>
          <t>TAM</t>
        </is>
      </c>
      <c r="E118" t="n">
        <v>88</v>
      </c>
      <c r="F118" t="n">
        <v>120</v>
      </c>
      <c r="G118">
        <f>E118*F118</f>
        <v/>
      </c>
    </row>
    <row r="119">
      <c r="A119" t="inlineStr">
        <is>
          <t>Fresh Milk</t>
        </is>
      </c>
      <c r="B119" t="inlineStr">
        <is>
          <t>Caramel Latte</t>
        </is>
      </c>
      <c r="C119" t="inlineStr">
        <is>
          <t>2026-07</t>
        </is>
      </c>
      <c r="D119" t="inlineStr">
        <is>
          <t>PJ</t>
        </is>
      </c>
      <c r="E119" t="n">
        <v>49</v>
      </c>
      <c r="F119" t="n">
        <v>120</v>
      </c>
      <c r="G119">
        <f>E119*F119</f>
        <v/>
      </c>
    </row>
    <row r="120">
      <c r="A120" t="inlineStr">
        <is>
          <t>Fresh Milk</t>
        </is>
      </c>
      <c r="B120" t="inlineStr">
        <is>
          <t>Caramel Latte</t>
        </is>
      </c>
      <c r="C120" t="inlineStr">
        <is>
          <t>2026-07</t>
        </is>
      </c>
      <c r="D120" t="inlineStr">
        <is>
          <t>SA</t>
        </is>
      </c>
      <c r="E120" t="n">
        <v>61</v>
      </c>
      <c r="F120" t="n">
        <v>120</v>
      </c>
      <c r="G120">
        <f>E120*F120</f>
        <v/>
      </c>
    </row>
    <row r="121">
      <c r="A121" t="inlineStr">
        <is>
          <t>Fresh Milk</t>
        </is>
      </c>
      <c r="B121" t="inlineStr">
        <is>
          <t>Caramel Latte</t>
        </is>
      </c>
      <c r="C121" t="inlineStr">
        <is>
          <t>2026-07</t>
        </is>
      </c>
      <c r="D121" t="inlineStr">
        <is>
          <t>TAM</t>
        </is>
      </c>
      <c r="E121" t="n">
        <v>50</v>
      </c>
      <c r="F121" t="n">
        <v>120</v>
      </c>
      <c r="G121">
        <f>E121*F121</f>
        <v/>
      </c>
    </row>
    <row r="122">
      <c r="A122" t="inlineStr">
        <is>
          <t>Fresh Milk</t>
        </is>
      </c>
      <c r="B122" t="inlineStr">
        <is>
          <t>Caramel Latte (Bottle)</t>
        </is>
      </c>
      <c r="C122" t="inlineStr">
        <is>
          <t>2026-06</t>
        </is>
      </c>
      <c r="D122" t="inlineStr">
        <is>
          <t>TAM</t>
        </is>
      </c>
      <c r="E122" t="n">
        <v>30</v>
      </c>
      <c r="F122" t="n">
        <v>130</v>
      </c>
      <c r="G122">
        <f>E122*F122</f>
        <v/>
      </c>
    </row>
    <row r="123">
      <c r="A123" t="inlineStr">
        <is>
          <t>Fresh Milk</t>
        </is>
      </c>
      <c r="B123" t="inlineStr">
        <is>
          <t>Caramel Macchiato</t>
        </is>
      </c>
      <c r="C123" t="inlineStr">
        <is>
          <t>2026-04</t>
        </is>
      </c>
      <c r="D123" t="inlineStr">
        <is>
          <t>PJ</t>
        </is>
      </c>
      <c r="E123" t="n">
        <v>128</v>
      </c>
      <c r="F123" t="n">
        <v>120</v>
      </c>
      <c r="G123">
        <f>E123*F123</f>
        <v/>
      </c>
    </row>
    <row r="124">
      <c r="A124" t="inlineStr">
        <is>
          <t>Fresh Milk</t>
        </is>
      </c>
      <c r="B124" t="inlineStr">
        <is>
          <t>Caramel Macchiato</t>
        </is>
      </c>
      <c r="C124" t="inlineStr">
        <is>
          <t>2026-04</t>
        </is>
      </c>
      <c r="D124" t="inlineStr">
        <is>
          <t>SA</t>
        </is>
      </c>
      <c r="E124" t="n">
        <v>124</v>
      </c>
      <c r="F124" t="n">
        <v>120</v>
      </c>
      <c r="G124">
        <f>E124*F124</f>
        <v/>
      </c>
    </row>
    <row r="125">
      <c r="A125" t="inlineStr">
        <is>
          <t>Fresh Milk</t>
        </is>
      </c>
      <c r="B125" t="inlineStr">
        <is>
          <t>Caramel Macchiato</t>
        </is>
      </c>
      <c r="C125" t="inlineStr">
        <is>
          <t>2026-04</t>
        </is>
      </c>
      <c r="D125" t="inlineStr">
        <is>
          <t>TAM</t>
        </is>
      </c>
      <c r="E125" t="n">
        <v>107</v>
      </c>
      <c r="F125" t="n">
        <v>120</v>
      </c>
      <c r="G125">
        <f>E125*F125</f>
        <v/>
      </c>
    </row>
    <row r="126">
      <c r="A126" t="inlineStr">
        <is>
          <t>Fresh Milk</t>
        </is>
      </c>
      <c r="B126" t="inlineStr">
        <is>
          <t>Caramel Macchiato</t>
        </is>
      </c>
      <c r="C126" t="inlineStr">
        <is>
          <t>2026-05</t>
        </is>
      </c>
      <c r="D126" t="inlineStr">
        <is>
          <t>PJ</t>
        </is>
      </c>
      <c r="E126" t="n">
        <v>109</v>
      </c>
      <c r="F126" t="n">
        <v>120</v>
      </c>
      <c r="G126">
        <f>E126*F126</f>
        <v/>
      </c>
    </row>
    <row r="127">
      <c r="A127" t="inlineStr">
        <is>
          <t>Fresh Milk</t>
        </is>
      </c>
      <c r="B127" t="inlineStr">
        <is>
          <t>Caramel Macchiato</t>
        </is>
      </c>
      <c r="C127" t="inlineStr">
        <is>
          <t>2026-05</t>
        </is>
      </c>
      <c r="D127" t="inlineStr">
        <is>
          <t>SA</t>
        </is>
      </c>
      <c r="E127" t="n">
        <v>122</v>
      </c>
      <c r="F127" t="n">
        <v>120</v>
      </c>
      <c r="G127">
        <f>E127*F127</f>
        <v/>
      </c>
    </row>
    <row r="128">
      <c r="A128" t="inlineStr">
        <is>
          <t>Fresh Milk</t>
        </is>
      </c>
      <c r="B128" t="inlineStr">
        <is>
          <t>Caramel Macchiato</t>
        </is>
      </c>
      <c r="C128" t="inlineStr">
        <is>
          <t>2026-05</t>
        </is>
      </c>
      <c r="D128" t="inlineStr">
        <is>
          <t>TAM</t>
        </is>
      </c>
      <c r="E128" t="n">
        <v>99</v>
      </c>
      <c r="F128" t="n">
        <v>120</v>
      </c>
      <c r="G128">
        <f>E128*F128</f>
        <v/>
      </c>
    </row>
    <row r="129">
      <c r="A129" t="inlineStr">
        <is>
          <t>Fresh Milk</t>
        </is>
      </c>
      <c r="B129" t="inlineStr">
        <is>
          <t>Caramel Macchiato</t>
        </is>
      </c>
      <c r="C129" t="inlineStr">
        <is>
          <t>2026-06</t>
        </is>
      </c>
      <c r="D129" t="inlineStr">
        <is>
          <t>PJ</t>
        </is>
      </c>
      <c r="E129" t="n">
        <v>94</v>
      </c>
      <c r="F129" t="n">
        <v>120</v>
      </c>
      <c r="G129">
        <f>E129*F129</f>
        <v/>
      </c>
    </row>
    <row r="130">
      <c r="A130" t="inlineStr">
        <is>
          <t>Fresh Milk</t>
        </is>
      </c>
      <c r="B130" t="inlineStr">
        <is>
          <t>Caramel Macchiato</t>
        </is>
      </c>
      <c r="C130" t="inlineStr">
        <is>
          <t>2026-06</t>
        </is>
      </c>
      <c r="D130" t="inlineStr">
        <is>
          <t>SA</t>
        </is>
      </c>
      <c r="E130" t="n">
        <v>110</v>
      </c>
      <c r="F130" t="n">
        <v>120</v>
      </c>
      <c r="G130">
        <f>E130*F130</f>
        <v/>
      </c>
    </row>
    <row r="131">
      <c r="A131" t="inlineStr">
        <is>
          <t>Fresh Milk</t>
        </is>
      </c>
      <c r="B131" t="inlineStr">
        <is>
          <t>Caramel Macchiato</t>
        </is>
      </c>
      <c r="C131" t="inlineStr">
        <is>
          <t>2026-06</t>
        </is>
      </c>
      <c r="D131" t="inlineStr">
        <is>
          <t>TAM</t>
        </is>
      </c>
      <c r="E131" t="n">
        <v>98</v>
      </c>
      <c r="F131" t="n">
        <v>120</v>
      </c>
      <c r="G131">
        <f>E131*F131</f>
        <v/>
      </c>
    </row>
    <row r="132">
      <c r="A132" t="inlineStr">
        <is>
          <t>Fresh Milk</t>
        </is>
      </c>
      <c r="B132" t="inlineStr">
        <is>
          <t>Caramel Macchiato</t>
        </is>
      </c>
      <c r="C132" t="inlineStr">
        <is>
          <t>2026-07</t>
        </is>
      </c>
      <c r="D132" t="inlineStr">
        <is>
          <t>PJ</t>
        </is>
      </c>
      <c r="E132" t="n">
        <v>73</v>
      </c>
      <c r="F132" t="n">
        <v>120</v>
      </c>
      <c r="G132">
        <f>E132*F132</f>
        <v/>
      </c>
    </row>
    <row r="133">
      <c r="A133" t="inlineStr">
        <is>
          <t>Fresh Milk</t>
        </is>
      </c>
      <c r="B133" t="inlineStr">
        <is>
          <t>Caramel Macchiato</t>
        </is>
      </c>
      <c r="C133" t="inlineStr">
        <is>
          <t>2026-07</t>
        </is>
      </c>
      <c r="D133" t="inlineStr">
        <is>
          <t>SA</t>
        </is>
      </c>
      <c r="E133" t="n">
        <v>69</v>
      </c>
      <c r="F133" t="n">
        <v>120</v>
      </c>
      <c r="G133">
        <f>E133*F133</f>
        <v/>
      </c>
    </row>
    <row r="134">
      <c r="A134" t="inlineStr">
        <is>
          <t>Fresh Milk</t>
        </is>
      </c>
      <c r="B134" t="inlineStr">
        <is>
          <t>Caramel Macchiato</t>
        </is>
      </c>
      <c r="C134" t="inlineStr">
        <is>
          <t>2026-07</t>
        </is>
      </c>
      <c r="D134" t="inlineStr">
        <is>
          <t>TAM</t>
        </is>
      </c>
      <c r="E134" t="n">
        <v>69</v>
      </c>
      <c r="F134" t="n">
        <v>120</v>
      </c>
      <c r="G134">
        <f>E134*F134</f>
        <v/>
      </c>
    </row>
    <row r="135">
      <c r="A135" t="inlineStr">
        <is>
          <t>Fresh Milk</t>
        </is>
      </c>
      <c r="B135" t="inlineStr">
        <is>
          <t>Chocolate</t>
        </is>
      </c>
      <c r="C135" t="inlineStr">
        <is>
          <t>2026-04</t>
        </is>
      </c>
      <c r="D135" t="inlineStr">
        <is>
          <t>PJ</t>
        </is>
      </c>
      <c r="E135" t="n">
        <v>260</v>
      </c>
      <c r="F135" t="n">
        <v>120</v>
      </c>
      <c r="G135">
        <f>E135*F135</f>
        <v/>
      </c>
    </row>
    <row r="136">
      <c r="A136" t="inlineStr">
        <is>
          <t>Fresh Milk</t>
        </is>
      </c>
      <c r="B136" t="inlineStr">
        <is>
          <t>Chocolate</t>
        </is>
      </c>
      <c r="C136" t="inlineStr">
        <is>
          <t>2026-04</t>
        </is>
      </c>
      <c r="D136" t="inlineStr">
        <is>
          <t>SA</t>
        </is>
      </c>
      <c r="E136" t="n">
        <v>197</v>
      </c>
      <c r="F136" t="n">
        <v>120</v>
      </c>
      <c r="G136">
        <f>E136*F136</f>
        <v/>
      </c>
    </row>
    <row r="137">
      <c r="A137" t="inlineStr">
        <is>
          <t>Fresh Milk</t>
        </is>
      </c>
      <c r="B137" t="inlineStr">
        <is>
          <t>Chocolate</t>
        </is>
      </c>
      <c r="C137" t="inlineStr">
        <is>
          <t>2026-04</t>
        </is>
      </c>
      <c r="D137" t="inlineStr">
        <is>
          <t>TAM</t>
        </is>
      </c>
      <c r="E137" t="n">
        <v>129</v>
      </c>
      <c r="F137" t="n">
        <v>120</v>
      </c>
      <c r="G137">
        <f>E137*F137</f>
        <v/>
      </c>
    </row>
    <row r="138">
      <c r="A138" t="inlineStr">
        <is>
          <t>Fresh Milk</t>
        </is>
      </c>
      <c r="B138" t="inlineStr">
        <is>
          <t>Chocolate</t>
        </is>
      </c>
      <c r="C138" t="inlineStr">
        <is>
          <t>2026-05</t>
        </is>
      </c>
      <c r="D138" t="inlineStr">
        <is>
          <t>PJ</t>
        </is>
      </c>
      <c r="E138" t="n">
        <v>247</v>
      </c>
      <c r="F138" t="n">
        <v>120</v>
      </c>
      <c r="G138">
        <f>E138*F138</f>
        <v/>
      </c>
    </row>
    <row r="139">
      <c r="A139" t="inlineStr">
        <is>
          <t>Fresh Milk</t>
        </is>
      </c>
      <c r="B139" t="inlineStr">
        <is>
          <t>Chocolate</t>
        </is>
      </c>
      <c r="C139" t="inlineStr">
        <is>
          <t>2026-05</t>
        </is>
      </c>
      <c r="D139" t="inlineStr">
        <is>
          <t>SA</t>
        </is>
      </c>
      <c r="E139" t="n">
        <v>255</v>
      </c>
      <c r="F139" t="n">
        <v>120</v>
      </c>
      <c r="G139">
        <f>E139*F139</f>
        <v/>
      </c>
    </row>
    <row r="140">
      <c r="A140" t="inlineStr">
        <is>
          <t>Fresh Milk</t>
        </is>
      </c>
      <c r="B140" t="inlineStr">
        <is>
          <t>Chocolate</t>
        </is>
      </c>
      <c r="C140" t="inlineStr">
        <is>
          <t>2026-05</t>
        </is>
      </c>
      <c r="D140" t="inlineStr">
        <is>
          <t>TAM</t>
        </is>
      </c>
      <c r="E140" t="n">
        <v>148</v>
      </c>
      <c r="F140" t="n">
        <v>120</v>
      </c>
      <c r="G140">
        <f>E140*F140</f>
        <v/>
      </c>
    </row>
    <row r="141">
      <c r="A141" t="inlineStr">
        <is>
          <t>Fresh Milk</t>
        </is>
      </c>
      <c r="B141" t="inlineStr">
        <is>
          <t>Chocolate</t>
        </is>
      </c>
      <c r="C141" t="inlineStr">
        <is>
          <t>2026-06</t>
        </is>
      </c>
      <c r="D141" t="inlineStr">
        <is>
          <t>PJ</t>
        </is>
      </c>
      <c r="E141" t="n">
        <v>141</v>
      </c>
      <c r="F141" t="n">
        <v>120</v>
      </c>
      <c r="G141">
        <f>E141*F141</f>
        <v/>
      </c>
    </row>
    <row r="142">
      <c r="A142" t="inlineStr">
        <is>
          <t>Fresh Milk</t>
        </is>
      </c>
      <c r="B142" t="inlineStr">
        <is>
          <t>Chocolate</t>
        </is>
      </c>
      <c r="C142" t="inlineStr">
        <is>
          <t>2026-06</t>
        </is>
      </c>
      <c r="D142" t="inlineStr">
        <is>
          <t>SA</t>
        </is>
      </c>
      <c r="E142" t="n">
        <v>197</v>
      </c>
      <c r="F142" t="n">
        <v>120</v>
      </c>
      <c r="G142">
        <f>E142*F142</f>
        <v/>
      </c>
    </row>
    <row r="143">
      <c r="A143" t="inlineStr">
        <is>
          <t>Fresh Milk</t>
        </is>
      </c>
      <c r="B143" t="inlineStr">
        <is>
          <t>Chocolate</t>
        </is>
      </c>
      <c r="C143" t="inlineStr">
        <is>
          <t>2026-06</t>
        </is>
      </c>
      <c r="D143" t="inlineStr">
        <is>
          <t>TAM</t>
        </is>
      </c>
      <c r="E143" t="n">
        <v>128</v>
      </c>
      <c r="F143" t="n">
        <v>120</v>
      </c>
      <c r="G143">
        <f>E143*F143</f>
        <v/>
      </c>
    </row>
    <row r="144">
      <c r="A144" t="inlineStr">
        <is>
          <t>Fresh Milk</t>
        </is>
      </c>
      <c r="B144" t="inlineStr">
        <is>
          <t>Chocolate</t>
        </is>
      </c>
      <c r="C144" t="inlineStr">
        <is>
          <t>2026-07</t>
        </is>
      </c>
      <c r="D144" t="inlineStr">
        <is>
          <t>PJ</t>
        </is>
      </c>
      <c r="E144" t="n">
        <v>126</v>
      </c>
      <c r="F144" t="n">
        <v>120</v>
      </c>
      <c r="G144">
        <f>E144*F144</f>
        <v/>
      </c>
    </row>
    <row r="145">
      <c r="A145" t="inlineStr">
        <is>
          <t>Fresh Milk</t>
        </is>
      </c>
      <c r="B145" t="inlineStr">
        <is>
          <t>Chocolate</t>
        </is>
      </c>
      <c r="C145" t="inlineStr">
        <is>
          <t>2026-07</t>
        </is>
      </c>
      <c r="D145" t="inlineStr">
        <is>
          <t>SA</t>
        </is>
      </c>
      <c r="E145" t="n">
        <v>127</v>
      </c>
      <c r="F145" t="n">
        <v>120</v>
      </c>
      <c r="G145">
        <f>E145*F145</f>
        <v/>
      </c>
    </row>
    <row r="146">
      <c r="A146" t="inlineStr">
        <is>
          <t>Fresh Milk</t>
        </is>
      </c>
      <c r="B146" t="inlineStr">
        <is>
          <t>Chocolate</t>
        </is>
      </c>
      <c r="C146" t="inlineStr">
        <is>
          <t>2026-07</t>
        </is>
      </c>
      <c r="D146" t="inlineStr">
        <is>
          <t>TAM</t>
        </is>
      </c>
      <c r="E146" t="n">
        <v>120</v>
      </c>
      <c r="F146" t="n">
        <v>120</v>
      </c>
      <c r="G146">
        <f>E146*F146</f>
        <v/>
      </c>
    </row>
    <row r="147">
      <c r="A147" t="inlineStr">
        <is>
          <t>Fresh Milk</t>
        </is>
      </c>
      <c r="B147" t="inlineStr">
        <is>
          <t>Chocolate (Bottle)</t>
        </is>
      </c>
      <c r="C147" t="inlineStr">
        <is>
          <t>2026-04</t>
        </is>
      </c>
      <c r="D147" t="inlineStr">
        <is>
          <t>TAM</t>
        </is>
      </c>
      <c r="E147" t="n">
        <v>1</v>
      </c>
      <c r="F147" t="n">
        <v>130</v>
      </c>
      <c r="G147">
        <f>E147*F147</f>
        <v/>
      </c>
    </row>
    <row r="148">
      <c r="A148" t="inlineStr">
        <is>
          <t>Fresh Milk</t>
        </is>
      </c>
      <c r="B148" t="inlineStr">
        <is>
          <t>Chocolate (Bottle)</t>
        </is>
      </c>
      <c r="C148" t="inlineStr">
        <is>
          <t>2026-05</t>
        </is>
      </c>
      <c r="D148" t="inlineStr">
        <is>
          <t>SA</t>
        </is>
      </c>
      <c r="E148" t="n">
        <v>1</v>
      </c>
      <c r="F148" t="n">
        <v>130</v>
      </c>
      <c r="G148">
        <f>E148*F148</f>
        <v/>
      </c>
    </row>
    <row r="149">
      <c r="A149" t="inlineStr">
        <is>
          <t>Fresh Milk</t>
        </is>
      </c>
      <c r="B149" t="inlineStr">
        <is>
          <t>Chocolate Freddo</t>
        </is>
      </c>
      <c r="C149" t="inlineStr">
        <is>
          <t>2026-04</t>
        </is>
      </c>
      <c r="D149" t="inlineStr">
        <is>
          <t>PJ</t>
        </is>
      </c>
      <c r="E149" t="n">
        <v>57</v>
      </c>
      <c r="F149" t="n">
        <v>40</v>
      </c>
      <c r="G149">
        <f>E149*F149</f>
        <v/>
      </c>
    </row>
    <row r="150">
      <c r="A150" t="inlineStr">
        <is>
          <t>Fresh Milk</t>
        </is>
      </c>
      <c r="B150" t="inlineStr">
        <is>
          <t>Chocolate Freddo</t>
        </is>
      </c>
      <c r="C150" t="inlineStr">
        <is>
          <t>2026-04</t>
        </is>
      </c>
      <c r="D150" t="inlineStr">
        <is>
          <t>SA</t>
        </is>
      </c>
      <c r="E150" t="n">
        <v>55</v>
      </c>
      <c r="F150" t="n">
        <v>40</v>
      </c>
      <c r="G150">
        <f>E150*F150</f>
        <v/>
      </c>
    </row>
    <row r="151">
      <c r="A151" t="inlineStr">
        <is>
          <t>Fresh Milk</t>
        </is>
      </c>
      <c r="B151" t="inlineStr">
        <is>
          <t>Chocolate Freddo</t>
        </is>
      </c>
      <c r="C151" t="inlineStr">
        <is>
          <t>2026-04</t>
        </is>
      </c>
      <c r="D151" t="inlineStr">
        <is>
          <t>TAM</t>
        </is>
      </c>
      <c r="E151" t="n">
        <v>39</v>
      </c>
      <c r="F151" t="n">
        <v>40</v>
      </c>
      <c r="G151">
        <f>E151*F151</f>
        <v/>
      </c>
    </row>
    <row r="152">
      <c r="A152" t="inlineStr">
        <is>
          <t>Fresh Milk</t>
        </is>
      </c>
      <c r="B152" t="inlineStr">
        <is>
          <t>Chocolate Freddo</t>
        </is>
      </c>
      <c r="C152" t="inlineStr">
        <is>
          <t>2026-05</t>
        </is>
      </c>
      <c r="D152" t="inlineStr">
        <is>
          <t>PJ</t>
        </is>
      </c>
      <c r="E152" t="n">
        <v>75</v>
      </c>
      <c r="F152" t="n">
        <v>40</v>
      </c>
      <c r="G152">
        <f>E152*F152</f>
        <v/>
      </c>
    </row>
    <row r="153">
      <c r="A153" t="inlineStr">
        <is>
          <t>Fresh Milk</t>
        </is>
      </c>
      <c r="B153" t="inlineStr">
        <is>
          <t>Chocolate Freddo</t>
        </is>
      </c>
      <c r="C153" t="inlineStr">
        <is>
          <t>2026-05</t>
        </is>
      </c>
      <c r="D153" t="inlineStr">
        <is>
          <t>SA</t>
        </is>
      </c>
      <c r="E153" t="n">
        <v>52</v>
      </c>
      <c r="F153" t="n">
        <v>40</v>
      </c>
      <c r="G153">
        <f>E153*F153</f>
        <v/>
      </c>
    </row>
    <row r="154">
      <c r="A154" t="inlineStr">
        <is>
          <t>Fresh Milk</t>
        </is>
      </c>
      <c r="B154" t="inlineStr">
        <is>
          <t>Chocolate Freddo</t>
        </is>
      </c>
      <c r="C154" t="inlineStr">
        <is>
          <t>2026-05</t>
        </is>
      </c>
      <c r="D154" t="inlineStr">
        <is>
          <t>TAM</t>
        </is>
      </c>
      <c r="E154" t="n">
        <v>37</v>
      </c>
      <c r="F154" t="n">
        <v>40</v>
      </c>
      <c r="G154">
        <f>E154*F154</f>
        <v/>
      </c>
    </row>
    <row r="155">
      <c r="A155" t="inlineStr">
        <is>
          <t>Fresh Milk</t>
        </is>
      </c>
      <c r="B155" t="inlineStr">
        <is>
          <t>Chocolate Freddo</t>
        </is>
      </c>
      <c r="C155" t="inlineStr">
        <is>
          <t>2026-06</t>
        </is>
      </c>
      <c r="D155" t="inlineStr">
        <is>
          <t>PJ</t>
        </is>
      </c>
      <c r="E155" t="n">
        <v>35</v>
      </c>
      <c r="F155" t="n">
        <v>40</v>
      </c>
      <c r="G155">
        <f>E155*F155</f>
        <v/>
      </c>
    </row>
    <row r="156">
      <c r="A156" t="inlineStr">
        <is>
          <t>Fresh Milk</t>
        </is>
      </c>
      <c r="B156" t="inlineStr">
        <is>
          <t>Chocolate Freddo</t>
        </is>
      </c>
      <c r="C156" t="inlineStr">
        <is>
          <t>2026-06</t>
        </is>
      </c>
      <c r="D156" t="inlineStr">
        <is>
          <t>SA</t>
        </is>
      </c>
      <c r="E156" t="n">
        <v>38</v>
      </c>
      <c r="F156" t="n">
        <v>40</v>
      </c>
      <c r="G156">
        <f>E156*F156</f>
        <v/>
      </c>
    </row>
    <row r="157">
      <c r="A157" t="inlineStr">
        <is>
          <t>Fresh Milk</t>
        </is>
      </c>
      <c r="B157" t="inlineStr">
        <is>
          <t>Chocolate Freddo</t>
        </is>
      </c>
      <c r="C157" t="inlineStr">
        <is>
          <t>2026-06</t>
        </is>
      </c>
      <c r="D157" t="inlineStr">
        <is>
          <t>TAM</t>
        </is>
      </c>
      <c r="E157" t="n">
        <v>30</v>
      </c>
      <c r="F157" t="n">
        <v>40</v>
      </c>
      <c r="G157">
        <f>E157*F157</f>
        <v/>
      </c>
    </row>
    <row r="158">
      <c r="A158" t="inlineStr">
        <is>
          <t>Fresh Milk</t>
        </is>
      </c>
      <c r="B158" t="inlineStr">
        <is>
          <t>Chocolate Freddo</t>
        </is>
      </c>
      <c r="C158" t="inlineStr">
        <is>
          <t>2026-07</t>
        </is>
      </c>
      <c r="D158" t="inlineStr">
        <is>
          <t>PJ</t>
        </is>
      </c>
      <c r="E158" t="n">
        <v>44</v>
      </c>
      <c r="F158" t="n">
        <v>40</v>
      </c>
      <c r="G158">
        <f>E158*F158</f>
        <v/>
      </c>
    </row>
    <row r="159">
      <c r="A159" t="inlineStr">
        <is>
          <t>Fresh Milk</t>
        </is>
      </c>
      <c r="B159" t="inlineStr">
        <is>
          <t>Chocolate Freddo</t>
        </is>
      </c>
      <c r="C159" t="inlineStr">
        <is>
          <t>2026-07</t>
        </is>
      </c>
      <c r="D159" t="inlineStr">
        <is>
          <t>SA</t>
        </is>
      </c>
      <c r="E159" t="n">
        <v>21</v>
      </c>
      <c r="F159" t="n">
        <v>40</v>
      </c>
      <c r="G159">
        <f>E159*F159</f>
        <v/>
      </c>
    </row>
    <row r="160">
      <c r="A160" t="inlineStr">
        <is>
          <t>Fresh Milk</t>
        </is>
      </c>
      <c r="B160" t="inlineStr">
        <is>
          <t>Chocolate Freddo</t>
        </is>
      </c>
      <c r="C160" t="inlineStr">
        <is>
          <t>2026-07</t>
        </is>
      </c>
      <c r="D160" t="inlineStr">
        <is>
          <t>TAM</t>
        </is>
      </c>
      <c r="E160" t="n">
        <v>24</v>
      </c>
      <c r="F160" t="n">
        <v>40</v>
      </c>
      <c r="G160">
        <f>E160*F160</f>
        <v/>
      </c>
    </row>
    <row r="161">
      <c r="A161" t="inlineStr">
        <is>
          <t>Fresh Milk</t>
        </is>
      </c>
      <c r="B161" t="inlineStr">
        <is>
          <t>Classic Latte (Bottle)</t>
        </is>
      </c>
      <c r="C161" t="inlineStr">
        <is>
          <t>2026-05</t>
        </is>
      </c>
      <c r="D161" t="inlineStr">
        <is>
          <t>SA</t>
        </is>
      </c>
      <c r="E161" t="n">
        <v>6</v>
      </c>
      <c r="F161" t="n">
        <v>130</v>
      </c>
      <c r="G161">
        <f>E161*F161</f>
        <v/>
      </c>
    </row>
    <row r="162">
      <c r="A162" t="inlineStr">
        <is>
          <t>Fresh Milk</t>
        </is>
      </c>
      <c r="B162" t="inlineStr">
        <is>
          <t>Classic Latte (Bottle)</t>
        </is>
      </c>
      <c r="C162" t="inlineStr">
        <is>
          <t>2026-06</t>
        </is>
      </c>
      <c r="D162" t="inlineStr">
        <is>
          <t>TAM</t>
        </is>
      </c>
      <c r="E162" t="n">
        <v>1</v>
      </c>
      <c r="F162" t="n">
        <v>130</v>
      </c>
      <c r="G162">
        <f>E162*F162</f>
        <v/>
      </c>
    </row>
    <row r="163">
      <c r="A163" t="inlineStr">
        <is>
          <t>Fresh Milk</t>
        </is>
      </c>
      <c r="B163" t="inlineStr">
        <is>
          <t>Cloudy Matcha</t>
        </is>
      </c>
      <c r="C163" t="inlineStr">
        <is>
          <t>2026-04</t>
        </is>
      </c>
      <c r="D163" t="inlineStr">
        <is>
          <t>PJ</t>
        </is>
      </c>
      <c r="E163" t="n">
        <v>48</v>
      </c>
      <c r="F163" t="n">
        <v>30</v>
      </c>
      <c r="G163">
        <f>E163*F163</f>
        <v/>
      </c>
    </row>
    <row r="164">
      <c r="A164" t="inlineStr">
        <is>
          <t>Fresh Milk</t>
        </is>
      </c>
      <c r="B164" t="inlineStr">
        <is>
          <t>Cloudy Matcha</t>
        </is>
      </c>
      <c r="C164" t="inlineStr">
        <is>
          <t>2026-04</t>
        </is>
      </c>
      <c r="D164" t="inlineStr">
        <is>
          <t>SA</t>
        </is>
      </c>
      <c r="E164" t="n">
        <v>82</v>
      </c>
      <c r="F164" t="n">
        <v>30</v>
      </c>
      <c r="G164">
        <f>E164*F164</f>
        <v/>
      </c>
    </row>
    <row r="165">
      <c r="A165" t="inlineStr">
        <is>
          <t>Fresh Milk</t>
        </is>
      </c>
      <c r="B165" t="inlineStr">
        <is>
          <t>Cloudy Matcha</t>
        </is>
      </c>
      <c r="C165" t="inlineStr">
        <is>
          <t>2026-04</t>
        </is>
      </c>
      <c r="D165" t="inlineStr">
        <is>
          <t>TAM</t>
        </is>
      </c>
      <c r="E165" t="n">
        <v>49</v>
      </c>
      <c r="F165" t="n">
        <v>30</v>
      </c>
      <c r="G165">
        <f>E165*F165</f>
        <v/>
      </c>
    </row>
    <row r="166">
      <c r="A166" t="inlineStr">
        <is>
          <t>Fresh Milk</t>
        </is>
      </c>
      <c r="B166" t="inlineStr">
        <is>
          <t>Cloudy Matcha</t>
        </is>
      </c>
      <c r="C166" t="inlineStr">
        <is>
          <t>2026-05</t>
        </is>
      </c>
      <c r="D166" t="inlineStr">
        <is>
          <t>PJ</t>
        </is>
      </c>
      <c r="E166" t="n">
        <v>61</v>
      </c>
      <c r="F166" t="n">
        <v>30</v>
      </c>
      <c r="G166">
        <f>E166*F166</f>
        <v/>
      </c>
    </row>
    <row r="167">
      <c r="A167" t="inlineStr">
        <is>
          <t>Fresh Milk</t>
        </is>
      </c>
      <c r="B167" t="inlineStr">
        <is>
          <t>Cloudy Matcha</t>
        </is>
      </c>
      <c r="C167" t="inlineStr">
        <is>
          <t>2026-05</t>
        </is>
      </c>
      <c r="D167" t="inlineStr">
        <is>
          <t>SA</t>
        </is>
      </c>
      <c r="E167" t="n">
        <v>101</v>
      </c>
      <c r="F167" t="n">
        <v>30</v>
      </c>
      <c r="G167">
        <f>E167*F167</f>
        <v/>
      </c>
    </row>
    <row r="168">
      <c r="A168" t="inlineStr">
        <is>
          <t>Fresh Milk</t>
        </is>
      </c>
      <c r="B168" t="inlineStr">
        <is>
          <t>Cloudy Matcha</t>
        </is>
      </c>
      <c r="C168" t="inlineStr">
        <is>
          <t>2026-05</t>
        </is>
      </c>
      <c r="D168" t="inlineStr">
        <is>
          <t>TAM</t>
        </is>
      </c>
      <c r="E168" t="n">
        <v>46</v>
      </c>
      <c r="F168" t="n">
        <v>30</v>
      </c>
      <c r="G168">
        <f>E168*F168</f>
        <v/>
      </c>
    </row>
    <row r="169">
      <c r="A169" t="inlineStr">
        <is>
          <t>Fresh Milk</t>
        </is>
      </c>
      <c r="B169" t="inlineStr">
        <is>
          <t>Cloudy Matcha</t>
        </is>
      </c>
      <c r="C169" t="inlineStr">
        <is>
          <t>2026-06</t>
        </is>
      </c>
      <c r="D169" t="inlineStr">
        <is>
          <t>PJ</t>
        </is>
      </c>
      <c r="E169" t="n">
        <v>63</v>
      </c>
      <c r="F169" t="n">
        <v>30</v>
      </c>
      <c r="G169">
        <f>E169*F169</f>
        <v/>
      </c>
    </row>
    <row r="170">
      <c r="A170" t="inlineStr">
        <is>
          <t>Fresh Milk</t>
        </is>
      </c>
      <c r="B170" t="inlineStr">
        <is>
          <t>Cloudy Matcha</t>
        </is>
      </c>
      <c r="C170" t="inlineStr">
        <is>
          <t>2026-06</t>
        </is>
      </c>
      <c r="D170" t="inlineStr">
        <is>
          <t>SA</t>
        </is>
      </c>
      <c r="E170" t="n">
        <v>80</v>
      </c>
      <c r="F170" t="n">
        <v>30</v>
      </c>
      <c r="G170">
        <f>E170*F170</f>
        <v/>
      </c>
    </row>
    <row r="171">
      <c r="A171" t="inlineStr">
        <is>
          <t>Fresh Milk</t>
        </is>
      </c>
      <c r="B171" t="inlineStr">
        <is>
          <t>Cloudy Matcha</t>
        </is>
      </c>
      <c r="C171" t="inlineStr">
        <is>
          <t>2026-06</t>
        </is>
      </c>
      <c r="D171" t="inlineStr">
        <is>
          <t>TAM</t>
        </is>
      </c>
      <c r="E171" t="n">
        <v>41</v>
      </c>
      <c r="F171" t="n">
        <v>30</v>
      </c>
      <c r="G171">
        <f>E171*F171</f>
        <v/>
      </c>
    </row>
    <row r="172">
      <c r="A172" t="inlineStr">
        <is>
          <t>Fresh Milk</t>
        </is>
      </c>
      <c r="B172" t="inlineStr">
        <is>
          <t>Cloudy Matcha</t>
        </is>
      </c>
      <c r="C172" t="inlineStr">
        <is>
          <t>2026-07</t>
        </is>
      </c>
      <c r="D172" t="inlineStr">
        <is>
          <t>PJ</t>
        </is>
      </c>
      <c r="E172" t="n">
        <v>41</v>
      </c>
      <c r="F172" t="n">
        <v>30</v>
      </c>
      <c r="G172">
        <f>E172*F172</f>
        <v/>
      </c>
    </row>
    <row r="173">
      <c r="A173" t="inlineStr">
        <is>
          <t>Fresh Milk</t>
        </is>
      </c>
      <c r="B173" t="inlineStr">
        <is>
          <t>Cloudy Matcha</t>
        </is>
      </c>
      <c r="C173" t="inlineStr">
        <is>
          <t>2026-07</t>
        </is>
      </c>
      <c r="D173" t="inlineStr">
        <is>
          <t>SA</t>
        </is>
      </c>
      <c r="E173" t="n">
        <v>51</v>
      </c>
      <c r="F173" t="n">
        <v>30</v>
      </c>
      <c r="G173">
        <f>E173*F173</f>
        <v/>
      </c>
    </row>
    <row r="174">
      <c r="A174" t="inlineStr">
        <is>
          <t>Fresh Milk</t>
        </is>
      </c>
      <c r="B174" t="inlineStr">
        <is>
          <t>Cloudy Matcha</t>
        </is>
      </c>
      <c r="C174" t="inlineStr">
        <is>
          <t>2026-07</t>
        </is>
      </c>
      <c r="D174" t="inlineStr">
        <is>
          <t>TAM</t>
        </is>
      </c>
      <c r="E174" t="n">
        <v>42</v>
      </c>
      <c r="F174" t="n">
        <v>30</v>
      </c>
      <c r="G174">
        <f>E174*F174</f>
        <v/>
      </c>
    </row>
    <row r="175">
      <c r="A175" t="inlineStr">
        <is>
          <t>Fresh Milk</t>
        </is>
      </c>
      <c r="B175" t="inlineStr">
        <is>
          <t>Dirty Latte</t>
        </is>
      </c>
      <c r="C175" t="inlineStr">
        <is>
          <t>2026-04</t>
        </is>
      </c>
      <c r="D175" t="inlineStr">
        <is>
          <t>PJ</t>
        </is>
      </c>
      <c r="E175" t="n">
        <v>94</v>
      </c>
      <c r="F175" t="n">
        <v>120</v>
      </c>
      <c r="G175">
        <f>E175*F175</f>
        <v/>
      </c>
    </row>
    <row r="176">
      <c r="A176" t="inlineStr">
        <is>
          <t>Fresh Milk</t>
        </is>
      </c>
      <c r="B176" t="inlineStr">
        <is>
          <t>Dirty Latte</t>
        </is>
      </c>
      <c r="C176" t="inlineStr">
        <is>
          <t>2026-04</t>
        </is>
      </c>
      <c r="D176" t="inlineStr">
        <is>
          <t>SA</t>
        </is>
      </c>
      <c r="E176" t="n">
        <v>130</v>
      </c>
      <c r="F176" t="n">
        <v>120</v>
      </c>
      <c r="G176">
        <f>E176*F176</f>
        <v/>
      </c>
    </row>
    <row r="177">
      <c r="A177" t="inlineStr">
        <is>
          <t>Fresh Milk</t>
        </is>
      </c>
      <c r="B177" t="inlineStr">
        <is>
          <t>Dirty Latte</t>
        </is>
      </c>
      <c r="C177" t="inlineStr">
        <is>
          <t>2026-04</t>
        </is>
      </c>
      <c r="D177" t="inlineStr">
        <is>
          <t>TAM</t>
        </is>
      </c>
      <c r="E177" t="n">
        <v>89</v>
      </c>
      <c r="F177" t="n">
        <v>120</v>
      </c>
      <c r="G177">
        <f>E177*F177</f>
        <v/>
      </c>
    </row>
    <row r="178">
      <c r="A178" t="inlineStr">
        <is>
          <t>Fresh Milk</t>
        </is>
      </c>
      <c r="B178" t="inlineStr">
        <is>
          <t>Dirty Latte</t>
        </is>
      </c>
      <c r="C178" t="inlineStr">
        <is>
          <t>2026-05</t>
        </is>
      </c>
      <c r="D178" t="inlineStr">
        <is>
          <t>PJ</t>
        </is>
      </c>
      <c r="E178" t="n">
        <v>107</v>
      </c>
      <c r="F178" t="n">
        <v>120</v>
      </c>
      <c r="G178">
        <f>E178*F178</f>
        <v/>
      </c>
    </row>
    <row r="179">
      <c r="A179" t="inlineStr">
        <is>
          <t>Fresh Milk</t>
        </is>
      </c>
      <c r="B179" t="inlineStr">
        <is>
          <t>Dirty Latte</t>
        </is>
      </c>
      <c r="C179" t="inlineStr">
        <is>
          <t>2026-05</t>
        </is>
      </c>
      <c r="D179" t="inlineStr">
        <is>
          <t>SA</t>
        </is>
      </c>
      <c r="E179" t="n">
        <v>109</v>
      </c>
      <c r="F179" t="n">
        <v>120</v>
      </c>
      <c r="G179">
        <f>E179*F179</f>
        <v/>
      </c>
    </row>
    <row r="180">
      <c r="A180" t="inlineStr">
        <is>
          <t>Fresh Milk</t>
        </is>
      </c>
      <c r="B180" t="inlineStr">
        <is>
          <t>Dirty Latte</t>
        </is>
      </c>
      <c r="C180" t="inlineStr">
        <is>
          <t>2026-05</t>
        </is>
      </c>
      <c r="D180" t="inlineStr">
        <is>
          <t>TAM</t>
        </is>
      </c>
      <c r="E180" t="n">
        <v>100</v>
      </c>
      <c r="F180" t="n">
        <v>120</v>
      </c>
      <c r="G180">
        <f>E180*F180</f>
        <v/>
      </c>
    </row>
    <row r="181">
      <c r="A181" t="inlineStr">
        <is>
          <t>Fresh Milk</t>
        </is>
      </c>
      <c r="B181" t="inlineStr">
        <is>
          <t>Dirty Latte</t>
        </is>
      </c>
      <c r="C181" t="inlineStr">
        <is>
          <t>2026-06</t>
        </is>
      </c>
      <c r="D181" t="inlineStr">
        <is>
          <t>PJ</t>
        </is>
      </c>
      <c r="E181" t="n">
        <v>114</v>
      </c>
      <c r="F181" t="n">
        <v>120</v>
      </c>
      <c r="G181">
        <f>E181*F181</f>
        <v/>
      </c>
    </row>
    <row r="182">
      <c r="A182" t="inlineStr">
        <is>
          <t>Fresh Milk</t>
        </is>
      </c>
      <c r="B182" t="inlineStr">
        <is>
          <t>Dirty Latte</t>
        </is>
      </c>
      <c r="C182" t="inlineStr">
        <is>
          <t>2026-06</t>
        </is>
      </c>
      <c r="D182" t="inlineStr">
        <is>
          <t>SA</t>
        </is>
      </c>
      <c r="E182" t="n">
        <v>112</v>
      </c>
      <c r="F182" t="n">
        <v>120</v>
      </c>
      <c r="G182">
        <f>E182*F182</f>
        <v/>
      </c>
    </row>
    <row r="183">
      <c r="A183" t="inlineStr">
        <is>
          <t>Fresh Milk</t>
        </is>
      </c>
      <c r="B183" t="inlineStr">
        <is>
          <t>Dirty Latte</t>
        </is>
      </c>
      <c r="C183" t="inlineStr">
        <is>
          <t>2026-06</t>
        </is>
      </c>
      <c r="D183" t="inlineStr">
        <is>
          <t>TAM</t>
        </is>
      </c>
      <c r="E183" t="n">
        <v>121</v>
      </c>
      <c r="F183" t="n">
        <v>120</v>
      </c>
      <c r="G183">
        <f>E183*F183</f>
        <v/>
      </c>
    </row>
    <row r="184">
      <c r="A184" t="inlineStr">
        <is>
          <t>Fresh Milk</t>
        </is>
      </c>
      <c r="B184" t="inlineStr">
        <is>
          <t>Dirty Latte</t>
        </is>
      </c>
      <c r="C184" t="inlineStr">
        <is>
          <t>2026-07</t>
        </is>
      </c>
      <c r="D184" t="inlineStr">
        <is>
          <t>PJ</t>
        </is>
      </c>
      <c r="E184" t="n">
        <v>92</v>
      </c>
      <c r="F184" t="n">
        <v>120</v>
      </c>
      <c r="G184">
        <f>E184*F184</f>
        <v/>
      </c>
    </row>
    <row r="185">
      <c r="A185" t="inlineStr">
        <is>
          <t>Fresh Milk</t>
        </is>
      </c>
      <c r="B185" t="inlineStr">
        <is>
          <t>Dirty Latte</t>
        </is>
      </c>
      <c r="C185" t="inlineStr">
        <is>
          <t>2026-07</t>
        </is>
      </c>
      <c r="D185" t="inlineStr">
        <is>
          <t>SA</t>
        </is>
      </c>
      <c r="E185" t="n">
        <v>88</v>
      </c>
      <c r="F185" t="n">
        <v>120</v>
      </c>
      <c r="G185">
        <f>E185*F185</f>
        <v/>
      </c>
    </row>
    <row r="186">
      <c r="A186" t="inlineStr">
        <is>
          <t>Fresh Milk</t>
        </is>
      </c>
      <c r="B186" t="inlineStr">
        <is>
          <t>Dirty Latte</t>
        </is>
      </c>
      <c r="C186" t="inlineStr">
        <is>
          <t>2026-07</t>
        </is>
      </c>
      <c r="D186" t="inlineStr">
        <is>
          <t>TAM</t>
        </is>
      </c>
      <c r="E186" t="n">
        <v>85</v>
      </c>
      <c r="F186" t="n">
        <v>120</v>
      </c>
      <c r="G186">
        <f>E186*F186</f>
        <v/>
      </c>
    </row>
    <row r="187">
      <c r="A187" t="inlineStr">
        <is>
          <t>Fresh Milk</t>
        </is>
      </c>
      <c r="B187" t="inlineStr">
        <is>
          <t>Doppio Freddo</t>
        </is>
      </c>
      <c r="C187" t="inlineStr">
        <is>
          <t>2026-04</t>
        </is>
      </c>
      <c r="D187" t="inlineStr">
        <is>
          <t>PJ</t>
        </is>
      </c>
      <c r="E187" t="n">
        <v>109</v>
      </c>
      <c r="F187" t="n">
        <v>50</v>
      </c>
      <c r="G187">
        <f>E187*F187</f>
        <v/>
      </c>
    </row>
    <row r="188">
      <c r="A188" t="inlineStr">
        <is>
          <t>Fresh Milk</t>
        </is>
      </c>
      <c r="B188" t="inlineStr">
        <is>
          <t>Doppio Freddo</t>
        </is>
      </c>
      <c r="C188" t="inlineStr">
        <is>
          <t>2026-04</t>
        </is>
      </c>
      <c r="D188" t="inlineStr">
        <is>
          <t>SA</t>
        </is>
      </c>
      <c r="E188" t="n">
        <v>79</v>
      </c>
      <c r="F188" t="n">
        <v>50</v>
      </c>
      <c r="G188">
        <f>E188*F188</f>
        <v/>
      </c>
    </row>
    <row r="189">
      <c r="A189" t="inlineStr">
        <is>
          <t>Fresh Milk</t>
        </is>
      </c>
      <c r="B189" t="inlineStr">
        <is>
          <t>Doppio Freddo</t>
        </is>
      </c>
      <c r="C189" t="inlineStr">
        <is>
          <t>2026-04</t>
        </is>
      </c>
      <c r="D189" t="inlineStr">
        <is>
          <t>TAM</t>
        </is>
      </c>
      <c r="E189" t="n">
        <v>86</v>
      </c>
      <c r="F189" t="n">
        <v>50</v>
      </c>
      <c r="G189">
        <f>E189*F189</f>
        <v/>
      </c>
    </row>
    <row r="190">
      <c r="A190" t="inlineStr">
        <is>
          <t>Fresh Milk</t>
        </is>
      </c>
      <c r="B190" t="inlineStr">
        <is>
          <t>Doppio Freddo</t>
        </is>
      </c>
      <c r="C190" t="inlineStr">
        <is>
          <t>2026-05</t>
        </is>
      </c>
      <c r="D190" t="inlineStr">
        <is>
          <t>PJ</t>
        </is>
      </c>
      <c r="E190" t="n">
        <v>113</v>
      </c>
      <c r="F190" t="n">
        <v>50</v>
      </c>
      <c r="G190">
        <f>E190*F190</f>
        <v/>
      </c>
    </row>
    <row r="191">
      <c r="A191" t="inlineStr">
        <is>
          <t>Fresh Milk</t>
        </is>
      </c>
      <c r="B191" t="inlineStr">
        <is>
          <t>Doppio Freddo</t>
        </is>
      </c>
      <c r="C191" t="inlineStr">
        <is>
          <t>2026-05</t>
        </is>
      </c>
      <c r="D191" t="inlineStr">
        <is>
          <t>SA</t>
        </is>
      </c>
      <c r="E191" t="n">
        <v>78</v>
      </c>
      <c r="F191" t="n">
        <v>50</v>
      </c>
      <c r="G191">
        <f>E191*F191</f>
        <v/>
      </c>
    </row>
    <row r="192">
      <c r="A192" t="inlineStr">
        <is>
          <t>Fresh Milk</t>
        </is>
      </c>
      <c r="B192" t="inlineStr">
        <is>
          <t>Doppio Freddo</t>
        </is>
      </c>
      <c r="C192" t="inlineStr">
        <is>
          <t>2026-05</t>
        </is>
      </c>
      <c r="D192" t="inlineStr">
        <is>
          <t>TAM</t>
        </is>
      </c>
      <c r="E192" t="n">
        <v>68</v>
      </c>
      <c r="F192" t="n">
        <v>50</v>
      </c>
      <c r="G192">
        <f>E192*F192</f>
        <v/>
      </c>
    </row>
    <row r="193">
      <c r="A193" t="inlineStr">
        <is>
          <t>Fresh Milk</t>
        </is>
      </c>
      <c r="B193" t="inlineStr">
        <is>
          <t>Doppio Freddo</t>
        </is>
      </c>
      <c r="C193" t="inlineStr">
        <is>
          <t>2026-06</t>
        </is>
      </c>
      <c r="D193" t="inlineStr">
        <is>
          <t>PJ</t>
        </is>
      </c>
      <c r="E193" t="n">
        <v>77</v>
      </c>
      <c r="F193" t="n">
        <v>50</v>
      </c>
      <c r="G193">
        <f>E193*F193</f>
        <v/>
      </c>
    </row>
    <row r="194">
      <c r="A194" t="inlineStr">
        <is>
          <t>Fresh Milk</t>
        </is>
      </c>
      <c r="B194" t="inlineStr">
        <is>
          <t>Doppio Freddo</t>
        </is>
      </c>
      <c r="C194" t="inlineStr">
        <is>
          <t>2026-06</t>
        </is>
      </c>
      <c r="D194" t="inlineStr">
        <is>
          <t>SA</t>
        </is>
      </c>
      <c r="E194" t="n">
        <v>78</v>
      </c>
      <c r="F194" t="n">
        <v>50</v>
      </c>
      <c r="G194">
        <f>E194*F194</f>
        <v/>
      </c>
    </row>
    <row r="195">
      <c r="A195" t="inlineStr">
        <is>
          <t>Fresh Milk</t>
        </is>
      </c>
      <c r="B195" t="inlineStr">
        <is>
          <t>Doppio Freddo</t>
        </is>
      </c>
      <c r="C195" t="inlineStr">
        <is>
          <t>2026-06</t>
        </is>
      </c>
      <c r="D195" t="inlineStr">
        <is>
          <t>TAM</t>
        </is>
      </c>
      <c r="E195" t="n">
        <v>77</v>
      </c>
      <c r="F195" t="n">
        <v>50</v>
      </c>
      <c r="G195">
        <f>E195*F195</f>
        <v/>
      </c>
    </row>
    <row r="196">
      <c r="A196" t="inlineStr">
        <is>
          <t>Fresh Milk</t>
        </is>
      </c>
      <c r="B196" t="inlineStr">
        <is>
          <t>Doppio Freddo</t>
        </is>
      </c>
      <c r="C196" t="inlineStr">
        <is>
          <t>2026-07</t>
        </is>
      </c>
      <c r="D196" t="inlineStr">
        <is>
          <t>PJ</t>
        </is>
      </c>
      <c r="E196" t="n">
        <v>65</v>
      </c>
      <c r="F196" t="n">
        <v>50</v>
      </c>
      <c r="G196">
        <f>E196*F196</f>
        <v/>
      </c>
    </row>
    <row r="197">
      <c r="A197" t="inlineStr">
        <is>
          <t>Fresh Milk</t>
        </is>
      </c>
      <c r="B197" t="inlineStr">
        <is>
          <t>Doppio Freddo</t>
        </is>
      </c>
      <c r="C197" t="inlineStr">
        <is>
          <t>2026-07</t>
        </is>
      </c>
      <c r="D197" t="inlineStr">
        <is>
          <t>SA</t>
        </is>
      </c>
      <c r="E197" t="n">
        <v>46</v>
      </c>
      <c r="F197" t="n">
        <v>50</v>
      </c>
      <c r="G197">
        <f>E197*F197</f>
        <v/>
      </c>
    </row>
    <row r="198">
      <c r="A198" t="inlineStr">
        <is>
          <t>Fresh Milk</t>
        </is>
      </c>
      <c r="B198" t="inlineStr">
        <is>
          <t>Doppio Freddo</t>
        </is>
      </c>
      <c r="C198" t="inlineStr">
        <is>
          <t>2026-07</t>
        </is>
      </c>
      <c r="D198" t="inlineStr">
        <is>
          <t>TAM</t>
        </is>
      </c>
      <c r="E198" t="n">
        <v>38</v>
      </c>
      <c r="F198" t="n">
        <v>50</v>
      </c>
      <c r="G198">
        <f>E198*F198</f>
        <v/>
      </c>
    </row>
    <row r="199">
      <c r="A199" t="inlineStr">
        <is>
          <t>Fresh Milk</t>
        </is>
      </c>
      <c r="B199" t="inlineStr">
        <is>
          <t>Hazelnut Latte</t>
        </is>
      </c>
      <c r="C199" t="inlineStr">
        <is>
          <t>2026-04</t>
        </is>
      </c>
      <c r="D199" t="inlineStr">
        <is>
          <t>PJ</t>
        </is>
      </c>
      <c r="E199" t="n">
        <v>127</v>
      </c>
      <c r="F199" t="n">
        <v>120</v>
      </c>
      <c r="G199">
        <f>E199*F199</f>
        <v/>
      </c>
    </row>
    <row r="200">
      <c r="A200" t="inlineStr">
        <is>
          <t>Fresh Milk</t>
        </is>
      </c>
      <c r="B200" t="inlineStr">
        <is>
          <t>Hazelnut Latte</t>
        </is>
      </c>
      <c r="C200" t="inlineStr">
        <is>
          <t>2026-04</t>
        </is>
      </c>
      <c r="D200" t="inlineStr">
        <is>
          <t>SA</t>
        </is>
      </c>
      <c r="E200" t="n">
        <v>131</v>
      </c>
      <c r="F200" t="n">
        <v>120</v>
      </c>
      <c r="G200">
        <f>E200*F200</f>
        <v/>
      </c>
    </row>
    <row r="201">
      <c r="A201" t="inlineStr">
        <is>
          <t>Fresh Milk</t>
        </is>
      </c>
      <c r="B201" t="inlineStr">
        <is>
          <t>Hazelnut Latte</t>
        </is>
      </c>
      <c r="C201" t="inlineStr">
        <is>
          <t>2026-04</t>
        </is>
      </c>
      <c r="D201" t="inlineStr">
        <is>
          <t>TAM</t>
        </is>
      </c>
      <c r="E201" t="n">
        <v>94</v>
      </c>
      <c r="F201" t="n">
        <v>120</v>
      </c>
      <c r="G201">
        <f>E201*F201</f>
        <v/>
      </c>
    </row>
    <row r="202">
      <c r="A202" t="inlineStr">
        <is>
          <t>Fresh Milk</t>
        </is>
      </c>
      <c r="B202" t="inlineStr">
        <is>
          <t>Hazelnut Latte</t>
        </is>
      </c>
      <c r="C202" t="inlineStr">
        <is>
          <t>2026-05</t>
        </is>
      </c>
      <c r="D202" t="inlineStr">
        <is>
          <t>PJ</t>
        </is>
      </c>
      <c r="E202" t="n">
        <v>119</v>
      </c>
      <c r="F202" t="n">
        <v>120</v>
      </c>
      <c r="G202">
        <f>E202*F202</f>
        <v/>
      </c>
    </row>
    <row r="203">
      <c r="A203" t="inlineStr">
        <is>
          <t>Fresh Milk</t>
        </is>
      </c>
      <c r="B203" t="inlineStr">
        <is>
          <t>Hazelnut Latte</t>
        </is>
      </c>
      <c r="C203" t="inlineStr">
        <is>
          <t>2026-05</t>
        </is>
      </c>
      <c r="D203" t="inlineStr">
        <is>
          <t>SA</t>
        </is>
      </c>
      <c r="E203" t="n">
        <v>102</v>
      </c>
      <c r="F203" t="n">
        <v>120</v>
      </c>
      <c r="G203">
        <f>E203*F203</f>
        <v/>
      </c>
    </row>
    <row r="204">
      <c r="A204" t="inlineStr">
        <is>
          <t>Fresh Milk</t>
        </is>
      </c>
      <c r="B204" t="inlineStr">
        <is>
          <t>Hazelnut Latte</t>
        </is>
      </c>
      <c r="C204" t="inlineStr">
        <is>
          <t>2026-05</t>
        </is>
      </c>
      <c r="D204" t="inlineStr">
        <is>
          <t>TAM</t>
        </is>
      </c>
      <c r="E204" t="n">
        <v>81</v>
      </c>
      <c r="F204" t="n">
        <v>120</v>
      </c>
      <c r="G204">
        <f>E204*F204</f>
        <v/>
      </c>
    </row>
    <row r="205">
      <c r="A205" t="inlineStr">
        <is>
          <t>Fresh Milk</t>
        </is>
      </c>
      <c r="B205" t="inlineStr">
        <is>
          <t>Hazelnut Latte</t>
        </is>
      </c>
      <c r="C205" t="inlineStr">
        <is>
          <t>2026-06</t>
        </is>
      </c>
      <c r="D205" t="inlineStr">
        <is>
          <t>PJ</t>
        </is>
      </c>
      <c r="E205" t="n">
        <v>87</v>
      </c>
      <c r="F205" t="n">
        <v>120</v>
      </c>
      <c r="G205">
        <f>E205*F205</f>
        <v/>
      </c>
    </row>
    <row r="206">
      <c r="A206" t="inlineStr">
        <is>
          <t>Fresh Milk</t>
        </is>
      </c>
      <c r="B206" t="inlineStr">
        <is>
          <t>Hazelnut Latte</t>
        </is>
      </c>
      <c r="C206" t="inlineStr">
        <is>
          <t>2026-06</t>
        </is>
      </c>
      <c r="D206" t="inlineStr">
        <is>
          <t>SA</t>
        </is>
      </c>
      <c r="E206" t="n">
        <v>79</v>
      </c>
      <c r="F206" t="n">
        <v>120</v>
      </c>
      <c r="G206">
        <f>E206*F206</f>
        <v/>
      </c>
    </row>
    <row r="207">
      <c r="A207" t="inlineStr">
        <is>
          <t>Fresh Milk</t>
        </is>
      </c>
      <c r="B207" t="inlineStr">
        <is>
          <t>Hazelnut Latte</t>
        </is>
      </c>
      <c r="C207" t="inlineStr">
        <is>
          <t>2026-06</t>
        </is>
      </c>
      <c r="D207" t="inlineStr">
        <is>
          <t>TAM</t>
        </is>
      </c>
      <c r="E207" t="n">
        <v>100</v>
      </c>
      <c r="F207" t="n">
        <v>120</v>
      </c>
      <c r="G207">
        <f>E207*F207</f>
        <v/>
      </c>
    </row>
    <row r="208">
      <c r="A208" t="inlineStr">
        <is>
          <t>Fresh Milk</t>
        </is>
      </c>
      <c r="B208" t="inlineStr">
        <is>
          <t>Hazelnut Latte</t>
        </is>
      </c>
      <c r="C208" t="inlineStr">
        <is>
          <t>2026-07</t>
        </is>
      </c>
      <c r="D208" t="inlineStr">
        <is>
          <t>PJ</t>
        </is>
      </c>
      <c r="E208" t="n">
        <v>78</v>
      </c>
      <c r="F208" t="n">
        <v>120</v>
      </c>
      <c r="G208">
        <f>E208*F208</f>
        <v/>
      </c>
    </row>
    <row r="209">
      <c r="A209" t="inlineStr">
        <is>
          <t>Fresh Milk</t>
        </is>
      </c>
      <c r="B209" t="inlineStr">
        <is>
          <t>Hazelnut Latte</t>
        </is>
      </c>
      <c r="C209" t="inlineStr">
        <is>
          <t>2026-07</t>
        </is>
      </c>
      <c r="D209" t="inlineStr">
        <is>
          <t>SA</t>
        </is>
      </c>
      <c r="E209" t="n">
        <v>77</v>
      </c>
      <c r="F209" t="n">
        <v>120</v>
      </c>
      <c r="G209">
        <f>E209*F209</f>
        <v/>
      </c>
    </row>
    <row r="210">
      <c r="A210" t="inlineStr">
        <is>
          <t>Fresh Milk</t>
        </is>
      </c>
      <c r="B210" t="inlineStr">
        <is>
          <t>Hazelnut Latte</t>
        </is>
      </c>
      <c r="C210" t="inlineStr">
        <is>
          <t>2026-07</t>
        </is>
      </c>
      <c r="D210" t="inlineStr">
        <is>
          <t>TAM</t>
        </is>
      </c>
      <c r="E210" t="n">
        <v>84</v>
      </c>
      <c r="F210" t="n">
        <v>120</v>
      </c>
      <c r="G210">
        <f>E210*F210</f>
        <v/>
      </c>
    </row>
    <row r="211">
      <c r="A211" t="inlineStr">
        <is>
          <t>Fresh Milk</t>
        </is>
      </c>
      <c r="B211" t="inlineStr">
        <is>
          <t>Latte</t>
        </is>
      </c>
      <c r="C211" t="inlineStr">
        <is>
          <t>2026-04</t>
        </is>
      </c>
      <c r="D211" t="inlineStr">
        <is>
          <t>PJ</t>
        </is>
      </c>
      <c r="E211" t="n">
        <v>1274</v>
      </c>
      <c r="F211" t="n">
        <v>120</v>
      </c>
      <c r="G211">
        <f>E211*F211</f>
        <v/>
      </c>
    </row>
    <row r="212">
      <c r="A212" t="inlineStr">
        <is>
          <t>Fresh Milk</t>
        </is>
      </c>
      <c r="B212" t="inlineStr">
        <is>
          <t>Latte</t>
        </is>
      </c>
      <c r="C212" t="inlineStr">
        <is>
          <t>2026-04</t>
        </is>
      </c>
      <c r="D212" t="inlineStr">
        <is>
          <t>SA</t>
        </is>
      </c>
      <c r="E212" t="n">
        <v>813</v>
      </c>
      <c r="F212" t="n">
        <v>120</v>
      </c>
      <c r="G212">
        <f>E212*F212</f>
        <v/>
      </c>
    </row>
    <row r="213">
      <c r="A213" t="inlineStr">
        <is>
          <t>Fresh Milk</t>
        </is>
      </c>
      <c r="B213" t="inlineStr">
        <is>
          <t>Latte</t>
        </is>
      </c>
      <c r="C213" t="inlineStr">
        <is>
          <t>2026-04</t>
        </is>
      </c>
      <c r="D213" t="inlineStr">
        <is>
          <t>TAM</t>
        </is>
      </c>
      <c r="E213" t="n">
        <v>747</v>
      </c>
      <c r="F213" t="n">
        <v>120</v>
      </c>
      <c r="G213">
        <f>E213*F213</f>
        <v/>
      </c>
    </row>
    <row r="214">
      <c r="A214" t="inlineStr">
        <is>
          <t>Fresh Milk</t>
        </is>
      </c>
      <c r="B214" t="inlineStr">
        <is>
          <t>Latte</t>
        </is>
      </c>
      <c r="C214" t="inlineStr">
        <is>
          <t>2026-05</t>
        </is>
      </c>
      <c r="D214" t="inlineStr">
        <is>
          <t>PJ</t>
        </is>
      </c>
      <c r="E214" t="n">
        <v>1111</v>
      </c>
      <c r="F214" t="n">
        <v>120</v>
      </c>
      <c r="G214">
        <f>E214*F214</f>
        <v/>
      </c>
    </row>
    <row r="215">
      <c r="A215" t="inlineStr">
        <is>
          <t>Fresh Milk</t>
        </is>
      </c>
      <c r="B215" t="inlineStr">
        <is>
          <t>Latte</t>
        </is>
      </c>
      <c r="C215" t="inlineStr">
        <is>
          <t>2026-05</t>
        </is>
      </c>
      <c r="D215" t="inlineStr">
        <is>
          <t>SA</t>
        </is>
      </c>
      <c r="E215" t="n">
        <v>1033</v>
      </c>
      <c r="F215" t="n">
        <v>120</v>
      </c>
      <c r="G215">
        <f>E215*F215</f>
        <v/>
      </c>
    </row>
    <row r="216">
      <c r="A216" t="inlineStr">
        <is>
          <t>Fresh Milk</t>
        </is>
      </c>
      <c r="B216" t="inlineStr">
        <is>
          <t>Latte</t>
        </is>
      </c>
      <c r="C216" t="inlineStr">
        <is>
          <t>2026-05</t>
        </is>
      </c>
      <c r="D216" t="inlineStr">
        <is>
          <t>TAM</t>
        </is>
      </c>
      <c r="E216" t="n">
        <v>647</v>
      </c>
      <c r="F216" t="n">
        <v>120</v>
      </c>
      <c r="G216">
        <f>E216*F216</f>
        <v/>
      </c>
    </row>
    <row r="217">
      <c r="A217" t="inlineStr">
        <is>
          <t>Fresh Milk</t>
        </is>
      </c>
      <c r="B217" t="inlineStr">
        <is>
          <t>Latte</t>
        </is>
      </c>
      <c r="C217" t="inlineStr">
        <is>
          <t>2026-06</t>
        </is>
      </c>
      <c r="D217" t="inlineStr">
        <is>
          <t>PJ</t>
        </is>
      </c>
      <c r="E217" t="n">
        <v>1051</v>
      </c>
      <c r="F217" t="n">
        <v>120</v>
      </c>
      <c r="G217">
        <f>E217*F217</f>
        <v/>
      </c>
    </row>
    <row r="218">
      <c r="A218" t="inlineStr">
        <is>
          <t>Fresh Milk</t>
        </is>
      </c>
      <c r="B218" t="inlineStr">
        <is>
          <t>Latte</t>
        </is>
      </c>
      <c r="C218" t="inlineStr">
        <is>
          <t>2026-06</t>
        </is>
      </c>
      <c r="D218" t="inlineStr">
        <is>
          <t>SA</t>
        </is>
      </c>
      <c r="E218" t="n">
        <v>837</v>
      </c>
      <c r="F218" t="n">
        <v>120</v>
      </c>
      <c r="G218">
        <f>E218*F218</f>
        <v/>
      </c>
    </row>
    <row r="219">
      <c r="A219" t="inlineStr">
        <is>
          <t>Fresh Milk</t>
        </is>
      </c>
      <c r="B219" t="inlineStr">
        <is>
          <t>Latte</t>
        </is>
      </c>
      <c r="C219" t="inlineStr">
        <is>
          <t>2026-06</t>
        </is>
      </c>
      <c r="D219" t="inlineStr">
        <is>
          <t>TAM</t>
        </is>
      </c>
      <c r="E219" t="n">
        <v>621</v>
      </c>
      <c r="F219" t="n">
        <v>120</v>
      </c>
      <c r="G219">
        <f>E219*F219</f>
        <v/>
      </c>
    </row>
    <row r="220">
      <c r="A220" t="inlineStr">
        <is>
          <t>Fresh Milk</t>
        </is>
      </c>
      <c r="B220" t="inlineStr">
        <is>
          <t>Latte</t>
        </is>
      </c>
      <c r="C220" t="inlineStr">
        <is>
          <t>2026-07</t>
        </is>
      </c>
      <c r="D220" t="inlineStr">
        <is>
          <t>PJ</t>
        </is>
      </c>
      <c r="E220" t="n">
        <v>856</v>
      </c>
      <c r="F220" t="n">
        <v>120</v>
      </c>
      <c r="G220">
        <f>E220*F220</f>
        <v/>
      </c>
    </row>
    <row r="221">
      <c r="A221" t="inlineStr">
        <is>
          <t>Fresh Milk</t>
        </is>
      </c>
      <c r="B221" t="inlineStr">
        <is>
          <t>Latte</t>
        </is>
      </c>
      <c r="C221" t="inlineStr">
        <is>
          <t>2026-07</t>
        </is>
      </c>
      <c r="D221" t="inlineStr">
        <is>
          <t>SA</t>
        </is>
      </c>
      <c r="E221" t="n">
        <v>739</v>
      </c>
      <c r="F221" t="n">
        <v>120</v>
      </c>
      <c r="G221">
        <f>E221*F221</f>
        <v/>
      </c>
    </row>
    <row r="222">
      <c r="A222" t="inlineStr">
        <is>
          <t>Fresh Milk</t>
        </is>
      </c>
      <c r="B222" t="inlineStr">
        <is>
          <t>Latte</t>
        </is>
      </c>
      <c r="C222" t="inlineStr">
        <is>
          <t>2026-07</t>
        </is>
      </c>
      <c r="D222" t="inlineStr">
        <is>
          <t>TAM</t>
        </is>
      </c>
      <c r="E222" t="n">
        <v>595</v>
      </c>
      <c r="F222" t="n">
        <v>120</v>
      </c>
      <c r="G222">
        <f>E222*F222</f>
        <v/>
      </c>
    </row>
    <row r="223">
      <c r="A223" t="inlineStr">
        <is>
          <t>Fresh Milk</t>
        </is>
      </c>
      <c r="B223" t="inlineStr">
        <is>
          <t>Matcha</t>
        </is>
      </c>
      <c r="C223" t="inlineStr">
        <is>
          <t>2026-04</t>
        </is>
      </c>
      <c r="D223" t="inlineStr">
        <is>
          <t>PJ</t>
        </is>
      </c>
      <c r="E223" t="n">
        <v>156</v>
      </c>
      <c r="F223" t="n">
        <v>120</v>
      </c>
      <c r="G223">
        <f>E223*F223</f>
        <v/>
      </c>
    </row>
    <row r="224">
      <c r="A224" t="inlineStr">
        <is>
          <t>Fresh Milk</t>
        </is>
      </c>
      <c r="B224" t="inlineStr">
        <is>
          <t>Matcha</t>
        </is>
      </c>
      <c r="C224" t="inlineStr">
        <is>
          <t>2026-04</t>
        </is>
      </c>
      <c r="D224" t="inlineStr">
        <is>
          <t>SA</t>
        </is>
      </c>
      <c r="E224" t="n">
        <v>232</v>
      </c>
      <c r="F224" t="n">
        <v>120</v>
      </c>
      <c r="G224">
        <f>E224*F224</f>
        <v/>
      </c>
    </row>
    <row r="225">
      <c r="A225" t="inlineStr">
        <is>
          <t>Fresh Milk</t>
        </is>
      </c>
      <c r="B225" t="inlineStr">
        <is>
          <t>Matcha</t>
        </is>
      </c>
      <c r="C225" t="inlineStr">
        <is>
          <t>2026-04</t>
        </is>
      </c>
      <c r="D225" t="inlineStr">
        <is>
          <t>TAM</t>
        </is>
      </c>
      <c r="E225" t="n">
        <v>119</v>
      </c>
      <c r="F225" t="n">
        <v>120</v>
      </c>
      <c r="G225">
        <f>E225*F225</f>
        <v/>
      </c>
    </row>
    <row r="226">
      <c r="A226" t="inlineStr">
        <is>
          <t>Fresh Milk</t>
        </is>
      </c>
      <c r="B226" t="inlineStr">
        <is>
          <t>Matcha</t>
        </is>
      </c>
      <c r="C226" t="inlineStr">
        <is>
          <t>2026-05</t>
        </is>
      </c>
      <c r="D226" t="inlineStr">
        <is>
          <t>PJ</t>
        </is>
      </c>
      <c r="E226" t="n">
        <v>138</v>
      </c>
      <c r="F226" t="n">
        <v>120</v>
      </c>
      <c r="G226">
        <f>E226*F226</f>
        <v/>
      </c>
    </row>
    <row r="227">
      <c r="A227" t="inlineStr">
        <is>
          <t>Fresh Milk</t>
        </is>
      </c>
      <c r="B227" t="inlineStr">
        <is>
          <t>Matcha</t>
        </is>
      </c>
      <c r="C227" t="inlineStr">
        <is>
          <t>2026-05</t>
        </is>
      </c>
      <c r="D227" t="inlineStr">
        <is>
          <t>SA</t>
        </is>
      </c>
      <c r="E227" t="n">
        <v>202</v>
      </c>
      <c r="F227" t="n">
        <v>120</v>
      </c>
      <c r="G227">
        <f>E227*F227</f>
        <v/>
      </c>
    </row>
    <row r="228">
      <c r="A228" t="inlineStr">
        <is>
          <t>Fresh Milk</t>
        </is>
      </c>
      <c r="B228" t="inlineStr">
        <is>
          <t>Matcha</t>
        </is>
      </c>
      <c r="C228" t="inlineStr">
        <is>
          <t>2026-05</t>
        </is>
      </c>
      <c r="D228" t="inlineStr">
        <is>
          <t>TAM</t>
        </is>
      </c>
      <c r="E228" t="n">
        <v>97</v>
      </c>
      <c r="F228" t="n">
        <v>120</v>
      </c>
      <c r="G228">
        <f>E228*F228</f>
        <v/>
      </c>
    </row>
    <row r="229">
      <c r="A229" t="inlineStr">
        <is>
          <t>Fresh Milk</t>
        </is>
      </c>
      <c r="B229" t="inlineStr">
        <is>
          <t>Matcha</t>
        </is>
      </c>
      <c r="C229" t="inlineStr">
        <is>
          <t>2026-06</t>
        </is>
      </c>
      <c r="D229" t="inlineStr">
        <is>
          <t>PJ</t>
        </is>
      </c>
      <c r="E229" t="n">
        <v>121</v>
      </c>
      <c r="F229" t="n">
        <v>120</v>
      </c>
      <c r="G229">
        <f>E229*F229</f>
        <v/>
      </c>
    </row>
    <row r="230">
      <c r="A230" t="inlineStr">
        <is>
          <t>Fresh Milk</t>
        </is>
      </c>
      <c r="B230" t="inlineStr">
        <is>
          <t>Matcha</t>
        </is>
      </c>
      <c r="C230" t="inlineStr">
        <is>
          <t>2026-06</t>
        </is>
      </c>
      <c r="D230" t="inlineStr">
        <is>
          <t>SA</t>
        </is>
      </c>
      <c r="E230" t="n">
        <v>190</v>
      </c>
      <c r="F230" t="n">
        <v>120</v>
      </c>
      <c r="G230">
        <f>E230*F230</f>
        <v/>
      </c>
    </row>
    <row r="231">
      <c r="A231" t="inlineStr">
        <is>
          <t>Fresh Milk</t>
        </is>
      </c>
      <c r="B231" t="inlineStr">
        <is>
          <t>Matcha</t>
        </is>
      </c>
      <c r="C231" t="inlineStr">
        <is>
          <t>2026-06</t>
        </is>
      </c>
      <c r="D231" t="inlineStr">
        <is>
          <t>TAM</t>
        </is>
      </c>
      <c r="E231" t="n">
        <v>100</v>
      </c>
      <c r="F231" t="n">
        <v>120</v>
      </c>
      <c r="G231">
        <f>E231*F231</f>
        <v/>
      </c>
    </row>
    <row r="232">
      <c r="A232" t="inlineStr">
        <is>
          <t>Fresh Milk</t>
        </is>
      </c>
      <c r="B232" t="inlineStr">
        <is>
          <t>Matcha</t>
        </is>
      </c>
      <c r="C232" t="inlineStr">
        <is>
          <t>2026-07</t>
        </is>
      </c>
      <c r="D232" t="inlineStr">
        <is>
          <t>PJ</t>
        </is>
      </c>
      <c r="E232" t="n">
        <v>118</v>
      </c>
      <c r="F232" t="n">
        <v>120</v>
      </c>
      <c r="G232">
        <f>E232*F232</f>
        <v/>
      </c>
    </row>
    <row r="233">
      <c r="A233" t="inlineStr">
        <is>
          <t>Fresh Milk</t>
        </is>
      </c>
      <c r="B233" t="inlineStr">
        <is>
          <t>Matcha</t>
        </is>
      </c>
      <c r="C233" t="inlineStr">
        <is>
          <t>2026-07</t>
        </is>
      </c>
      <c r="D233" t="inlineStr">
        <is>
          <t>SA</t>
        </is>
      </c>
      <c r="E233" t="n">
        <v>117</v>
      </c>
      <c r="F233" t="n">
        <v>120</v>
      </c>
      <c r="G233">
        <f>E233*F233</f>
        <v/>
      </c>
    </row>
    <row r="234">
      <c r="A234" t="inlineStr">
        <is>
          <t>Fresh Milk</t>
        </is>
      </c>
      <c r="B234" t="inlineStr">
        <is>
          <t>Matcha</t>
        </is>
      </c>
      <c r="C234" t="inlineStr">
        <is>
          <t>2026-07</t>
        </is>
      </c>
      <c r="D234" t="inlineStr">
        <is>
          <t>TAM</t>
        </is>
      </c>
      <c r="E234" t="n">
        <v>60</v>
      </c>
      <c r="F234" t="n">
        <v>120</v>
      </c>
      <c r="G234">
        <f>E234*F234</f>
        <v/>
      </c>
    </row>
    <row r="235">
      <c r="A235" t="inlineStr">
        <is>
          <t>Fresh Milk</t>
        </is>
      </c>
      <c r="B235" t="inlineStr">
        <is>
          <t>Matcha Affogato</t>
        </is>
      </c>
      <c r="C235" t="inlineStr">
        <is>
          <t>2026-04</t>
        </is>
      </c>
      <c r="D235" t="inlineStr">
        <is>
          <t>SA</t>
        </is>
      </c>
      <c r="E235" t="n">
        <v>4</v>
      </c>
      <c r="F235" t="n">
        <v>25</v>
      </c>
      <c r="G235">
        <f>E235*F235</f>
        <v/>
      </c>
    </row>
    <row r="236">
      <c r="A236" t="inlineStr">
        <is>
          <t>Fresh Milk</t>
        </is>
      </c>
      <c r="B236" t="inlineStr">
        <is>
          <t>Matcha Affogato</t>
        </is>
      </c>
      <c r="C236" t="inlineStr">
        <is>
          <t>2026-04</t>
        </is>
      </c>
      <c r="D236" t="inlineStr">
        <is>
          <t>TAM</t>
        </is>
      </c>
      <c r="E236" t="n">
        <v>1</v>
      </c>
      <c r="F236" t="n">
        <v>25</v>
      </c>
      <c r="G236">
        <f>E236*F236</f>
        <v/>
      </c>
    </row>
    <row r="237">
      <c r="A237" t="inlineStr">
        <is>
          <t>Fresh Milk</t>
        </is>
      </c>
      <c r="B237" t="inlineStr">
        <is>
          <t>Matcha Affogato</t>
        </is>
      </c>
      <c r="C237" t="inlineStr">
        <is>
          <t>2026-05</t>
        </is>
      </c>
      <c r="D237" t="inlineStr">
        <is>
          <t>PJ</t>
        </is>
      </c>
      <c r="E237" t="n">
        <v>1</v>
      </c>
      <c r="F237" t="n">
        <v>25</v>
      </c>
      <c r="G237">
        <f>E237*F237</f>
        <v/>
      </c>
    </row>
    <row r="238">
      <c r="A238" t="inlineStr">
        <is>
          <t>Fresh Milk</t>
        </is>
      </c>
      <c r="B238" t="inlineStr">
        <is>
          <t>Matcha Affogato</t>
        </is>
      </c>
      <c r="C238" t="inlineStr">
        <is>
          <t>2026-05</t>
        </is>
      </c>
      <c r="D238" t="inlineStr">
        <is>
          <t>SA</t>
        </is>
      </c>
      <c r="E238" t="n">
        <v>4</v>
      </c>
      <c r="F238" t="n">
        <v>25</v>
      </c>
      <c r="G238">
        <f>E238*F238</f>
        <v/>
      </c>
    </row>
    <row r="239">
      <c r="A239" t="inlineStr">
        <is>
          <t>Fresh Milk</t>
        </is>
      </c>
      <c r="B239" t="inlineStr">
        <is>
          <t>Matcha Affogato</t>
        </is>
      </c>
      <c r="C239" t="inlineStr">
        <is>
          <t>2026-05</t>
        </is>
      </c>
      <c r="D239" t="inlineStr">
        <is>
          <t>TAM</t>
        </is>
      </c>
      <c r="E239" t="n">
        <v>2</v>
      </c>
      <c r="F239" t="n">
        <v>25</v>
      </c>
      <c r="G239">
        <f>E239*F239</f>
        <v/>
      </c>
    </row>
    <row r="240">
      <c r="A240" t="inlineStr">
        <is>
          <t>Fresh Milk</t>
        </is>
      </c>
      <c r="B240" t="inlineStr">
        <is>
          <t>Matcha Affogato</t>
        </is>
      </c>
      <c r="C240" t="inlineStr">
        <is>
          <t>2026-06</t>
        </is>
      </c>
      <c r="D240" t="inlineStr">
        <is>
          <t>PJ</t>
        </is>
      </c>
      <c r="E240" t="n">
        <v>1</v>
      </c>
      <c r="F240" t="n">
        <v>25</v>
      </c>
      <c r="G240">
        <f>E240*F240</f>
        <v/>
      </c>
    </row>
    <row r="241">
      <c r="A241" t="inlineStr">
        <is>
          <t>Fresh Milk</t>
        </is>
      </c>
      <c r="B241" t="inlineStr">
        <is>
          <t>Matcha Affogato</t>
        </is>
      </c>
      <c r="C241" t="inlineStr">
        <is>
          <t>2026-06</t>
        </is>
      </c>
      <c r="D241" t="inlineStr">
        <is>
          <t>SA</t>
        </is>
      </c>
      <c r="E241" t="n">
        <v>2</v>
      </c>
      <c r="F241" t="n">
        <v>25</v>
      </c>
      <c r="G241">
        <f>E241*F241</f>
        <v/>
      </c>
    </row>
    <row r="242">
      <c r="A242" t="inlineStr">
        <is>
          <t>Fresh Milk</t>
        </is>
      </c>
      <c r="B242" t="inlineStr">
        <is>
          <t>Matcha Affogato</t>
        </is>
      </c>
      <c r="C242" t="inlineStr">
        <is>
          <t>2026-06</t>
        </is>
      </c>
      <c r="D242" t="inlineStr">
        <is>
          <t>TAM</t>
        </is>
      </c>
      <c r="E242" t="n">
        <v>5</v>
      </c>
      <c r="F242" t="n">
        <v>25</v>
      </c>
      <c r="G242">
        <f>E242*F242</f>
        <v/>
      </c>
    </row>
    <row r="243">
      <c r="A243" t="inlineStr">
        <is>
          <t>Fresh Milk</t>
        </is>
      </c>
      <c r="B243" t="inlineStr">
        <is>
          <t>Matcha Affogato</t>
        </is>
      </c>
      <c r="C243" t="inlineStr">
        <is>
          <t>2026-07</t>
        </is>
      </c>
      <c r="D243" t="inlineStr">
        <is>
          <t>PJ</t>
        </is>
      </c>
      <c r="E243" t="n">
        <v>5</v>
      </c>
      <c r="F243" t="n">
        <v>25</v>
      </c>
      <c r="G243">
        <f>E243*F243</f>
        <v/>
      </c>
    </row>
    <row r="244">
      <c r="A244" t="inlineStr">
        <is>
          <t>Fresh Milk</t>
        </is>
      </c>
      <c r="B244" t="inlineStr">
        <is>
          <t>Matcha Affogato</t>
        </is>
      </c>
      <c r="C244" t="inlineStr">
        <is>
          <t>2026-07</t>
        </is>
      </c>
      <c r="D244" t="inlineStr">
        <is>
          <t>TAM</t>
        </is>
      </c>
      <c r="E244" t="n">
        <v>4</v>
      </c>
      <c r="F244" t="n">
        <v>25</v>
      </c>
      <c r="G244">
        <f>E244*F244</f>
        <v/>
      </c>
    </row>
    <row r="245">
      <c r="A245" t="inlineStr">
        <is>
          <t>Fresh Milk</t>
        </is>
      </c>
      <c r="B245" t="inlineStr">
        <is>
          <t>Matcha Cream Latte</t>
        </is>
      </c>
      <c r="C245" t="inlineStr">
        <is>
          <t>2026-04</t>
        </is>
      </c>
      <c r="D245" t="inlineStr">
        <is>
          <t>PJ</t>
        </is>
      </c>
      <c r="E245" t="n">
        <v>153</v>
      </c>
      <c r="F245" t="n">
        <v>140</v>
      </c>
      <c r="G245">
        <f>E245*F245</f>
        <v/>
      </c>
    </row>
    <row r="246">
      <c r="A246" t="inlineStr">
        <is>
          <t>Fresh Milk</t>
        </is>
      </c>
      <c r="B246" t="inlineStr">
        <is>
          <t>Matcha Cream Latte</t>
        </is>
      </c>
      <c r="C246" t="inlineStr">
        <is>
          <t>2026-04</t>
        </is>
      </c>
      <c r="D246" t="inlineStr">
        <is>
          <t>SA</t>
        </is>
      </c>
      <c r="E246" t="n">
        <v>227</v>
      </c>
      <c r="F246" t="n">
        <v>140</v>
      </c>
      <c r="G246">
        <f>E246*F246</f>
        <v/>
      </c>
    </row>
    <row r="247">
      <c r="A247" t="inlineStr">
        <is>
          <t>Fresh Milk</t>
        </is>
      </c>
      <c r="B247" t="inlineStr">
        <is>
          <t>Matcha Cream Latte</t>
        </is>
      </c>
      <c r="C247" t="inlineStr">
        <is>
          <t>2026-04</t>
        </is>
      </c>
      <c r="D247" t="inlineStr">
        <is>
          <t>TAM</t>
        </is>
      </c>
      <c r="E247" t="n">
        <v>146</v>
      </c>
      <c r="F247" t="n">
        <v>140</v>
      </c>
      <c r="G247">
        <f>E247*F247</f>
        <v/>
      </c>
    </row>
    <row r="248">
      <c r="A248" t="inlineStr">
        <is>
          <t>Fresh Milk</t>
        </is>
      </c>
      <c r="B248" t="inlineStr">
        <is>
          <t>Matcha Cream Latte</t>
        </is>
      </c>
      <c r="C248" t="inlineStr">
        <is>
          <t>2026-05</t>
        </is>
      </c>
      <c r="D248" t="inlineStr">
        <is>
          <t>PJ</t>
        </is>
      </c>
      <c r="E248" t="n">
        <v>128</v>
      </c>
      <c r="F248" t="n">
        <v>140</v>
      </c>
      <c r="G248">
        <f>E248*F248</f>
        <v/>
      </c>
    </row>
    <row r="249">
      <c r="A249" t="inlineStr">
        <is>
          <t>Fresh Milk</t>
        </is>
      </c>
      <c r="B249" t="inlineStr">
        <is>
          <t>Matcha Cream Latte</t>
        </is>
      </c>
      <c r="C249" t="inlineStr">
        <is>
          <t>2026-05</t>
        </is>
      </c>
      <c r="D249" t="inlineStr">
        <is>
          <t>SA</t>
        </is>
      </c>
      <c r="E249" t="n">
        <v>219</v>
      </c>
      <c r="F249" t="n">
        <v>140</v>
      </c>
      <c r="G249">
        <f>E249*F249</f>
        <v/>
      </c>
    </row>
    <row r="250">
      <c r="A250" t="inlineStr">
        <is>
          <t>Fresh Milk</t>
        </is>
      </c>
      <c r="B250" t="inlineStr">
        <is>
          <t>Matcha Cream Latte</t>
        </is>
      </c>
      <c r="C250" t="inlineStr">
        <is>
          <t>2026-05</t>
        </is>
      </c>
      <c r="D250" t="inlineStr">
        <is>
          <t>TAM</t>
        </is>
      </c>
      <c r="E250" t="n">
        <v>98</v>
      </c>
      <c r="F250" t="n">
        <v>140</v>
      </c>
      <c r="G250">
        <f>E250*F250</f>
        <v/>
      </c>
    </row>
    <row r="251">
      <c r="A251" t="inlineStr">
        <is>
          <t>Fresh Milk</t>
        </is>
      </c>
      <c r="B251" t="inlineStr">
        <is>
          <t>Matcha Cream Latte</t>
        </is>
      </c>
      <c r="C251" t="inlineStr">
        <is>
          <t>2026-06</t>
        </is>
      </c>
      <c r="D251" t="inlineStr">
        <is>
          <t>PJ</t>
        </is>
      </c>
      <c r="E251" t="n">
        <v>109</v>
      </c>
      <c r="F251" t="n">
        <v>140</v>
      </c>
      <c r="G251">
        <f>E251*F251</f>
        <v/>
      </c>
    </row>
    <row r="252">
      <c r="A252" t="inlineStr">
        <is>
          <t>Fresh Milk</t>
        </is>
      </c>
      <c r="B252" t="inlineStr">
        <is>
          <t>Matcha Cream Latte</t>
        </is>
      </c>
      <c r="C252" t="inlineStr">
        <is>
          <t>2026-06</t>
        </is>
      </c>
      <c r="D252" t="inlineStr">
        <is>
          <t>SA</t>
        </is>
      </c>
      <c r="E252" t="n">
        <v>202</v>
      </c>
      <c r="F252" t="n">
        <v>140</v>
      </c>
      <c r="G252">
        <f>E252*F252</f>
        <v/>
      </c>
    </row>
    <row r="253">
      <c r="A253" t="inlineStr">
        <is>
          <t>Fresh Milk</t>
        </is>
      </c>
      <c r="B253" t="inlineStr">
        <is>
          <t>Matcha Cream Latte</t>
        </is>
      </c>
      <c r="C253" t="inlineStr">
        <is>
          <t>2026-06</t>
        </is>
      </c>
      <c r="D253" t="inlineStr">
        <is>
          <t>TAM</t>
        </is>
      </c>
      <c r="E253" t="n">
        <v>98</v>
      </c>
      <c r="F253" t="n">
        <v>140</v>
      </c>
      <c r="G253">
        <f>E253*F253</f>
        <v/>
      </c>
    </row>
    <row r="254">
      <c r="A254" t="inlineStr">
        <is>
          <t>Fresh Milk</t>
        </is>
      </c>
      <c r="B254" t="inlineStr">
        <is>
          <t>Matcha Cream Latte</t>
        </is>
      </c>
      <c r="C254" t="inlineStr">
        <is>
          <t>2026-07</t>
        </is>
      </c>
      <c r="D254" t="inlineStr">
        <is>
          <t>PJ</t>
        </is>
      </c>
      <c r="E254" t="n">
        <v>93</v>
      </c>
      <c r="F254" t="n">
        <v>140</v>
      </c>
      <c r="G254">
        <f>E254*F254</f>
        <v/>
      </c>
    </row>
    <row r="255">
      <c r="A255" t="inlineStr">
        <is>
          <t>Fresh Milk</t>
        </is>
      </c>
      <c r="B255" t="inlineStr">
        <is>
          <t>Matcha Cream Latte</t>
        </is>
      </c>
      <c r="C255" t="inlineStr">
        <is>
          <t>2026-07</t>
        </is>
      </c>
      <c r="D255" t="inlineStr">
        <is>
          <t>SA</t>
        </is>
      </c>
      <c r="E255" t="n">
        <v>143</v>
      </c>
      <c r="F255" t="n">
        <v>140</v>
      </c>
      <c r="G255">
        <f>E255*F255</f>
        <v/>
      </c>
    </row>
    <row r="256">
      <c r="A256" t="inlineStr">
        <is>
          <t>Fresh Milk</t>
        </is>
      </c>
      <c r="B256" t="inlineStr">
        <is>
          <t>Matcha Cream Latte</t>
        </is>
      </c>
      <c r="C256" t="inlineStr">
        <is>
          <t>2026-07</t>
        </is>
      </c>
      <c r="D256" t="inlineStr">
        <is>
          <t>TAM</t>
        </is>
      </c>
      <c r="E256" t="n">
        <v>79</v>
      </c>
      <c r="F256" t="n">
        <v>140</v>
      </c>
      <c r="G256">
        <f>E256*F256</f>
        <v/>
      </c>
    </row>
    <row r="257">
      <c r="A257" t="inlineStr">
        <is>
          <t>Fresh Milk</t>
        </is>
      </c>
      <c r="B257" t="inlineStr">
        <is>
          <t>Mint Chocolate</t>
        </is>
      </c>
      <c r="C257" t="inlineStr">
        <is>
          <t>2026-04</t>
        </is>
      </c>
      <c r="D257" t="inlineStr">
        <is>
          <t>PJ</t>
        </is>
      </c>
      <c r="E257" t="n">
        <v>71</v>
      </c>
      <c r="F257" t="n">
        <v>120</v>
      </c>
      <c r="G257">
        <f>E257*F257</f>
        <v/>
      </c>
    </row>
    <row r="258">
      <c r="A258" t="inlineStr">
        <is>
          <t>Fresh Milk</t>
        </is>
      </c>
      <c r="B258" t="inlineStr">
        <is>
          <t>Mint Chocolate</t>
        </is>
      </c>
      <c r="C258" t="inlineStr">
        <is>
          <t>2026-04</t>
        </is>
      </c>
      <c r="D258" t="inlineStr">
        <is>
          <t>SA</t>
        </is>
      </c>
      <c r="E258" t="n">
        <v>63</v>
      </c>
      <c r="F258" t="n">
        <v>120</v>
      </c>
      <c r="G258">
        <f>E258*F258</f>
        <v/>
      </c>
    </row>
    <row r="259">
      <c r="A259" t="inlineStr">
        <is>
          <t>Fresh Milk</t>
        </is>
      </c>
      <c r="B259" t="inlineStr">
        <is>
          <t>Mint Chocolate</t>
        </is>
      </c>
      <c r="C259" t="inlineStr">
        <is>
          <t>2026-04</t>
        </is>
      </c>
      <c r="D259" t="inlineStr">
        <is>
          <t>TAM</t>
        </is>
      </c>
      <c r="E259" t="n">
        <v>45</v>
      </c>
      <c r="F259" t="n">
        <v>120</v>
      </c>
      <c r="G259">
        <f>E259*F259</f>
        <v/>
      </c>
    </row>
    <row r="260">
      <c r="A260" t="inlineStr">
        <is>
          <t>Fresh Milk</t>
        </is>
      </c>
      <c r="B260" t="inlineStr">
        <is>
          <t>Mint Chocolate</t>
        </is>
      </c>
      <c r="C260" t="inlineStr">
        <is>
          <t>2026-05</t>
        </is>
      </c>
      <c r="D260" t="inlineStr">
        <is>
          <t>PJ</t>
        </is>
      </c>
      <c r="E260" t="n">
        <v>72</v>
      </c>
      <c r="F260" t="n">
        <v>120</v>
      </c>
      <c r="G260">
        <f>E260*F260</f>
        <v/>
      </c>
    </row>
    <row r="261">
      <c r="A261" t="inlineStr">
        <is>
          <t>Fresh Milk</t>
        </is>
      </c>
      <c r="B261" t="inlineStr">
        <is>
          <t>Mint Chocolate</t>
        </is>
      </c>
      <c r="C261" t="inlineStr">
        <is>
          <t>2026-05</t>
        </is>
      </c>
      <c r="D261" t="inlineStr">
        <is>
          <t>SA</t>
        </is>
      </c>
      <c r="E261" t="n">
        <v>47</v>
      </c>
      <c r="F261" t="n">
        <v>120</v>
      </c>
      <c r="G261">
        <f>E261*F261</f>
        <v/>
      </c>
    </row>
    <row r="262">
      <c r="A262" t="inlineStr">
        <is>
          <t>Fresh Milk</t>
        </is>
      </c>
      <c r="B262" t="inlineStr">
        <is>
          <t>Mint Chocolate</t>
        </is>
      </c>
      <c r="C262" t="inlineStr">
        <is>
          <t>2026-05</t>
        </is>
      </c>
      <c r="D262" t="inlineStr">
        <is>
          <t>TAM</t>
        </is>
      </c>
      <c r="E262" t="n">
        <v>39</v>
      </c>
      <c r="F262" t="n">
        <v>120</v>
      </c>
      <c r="G262">
        <f>E262*F262</f>
        <v/>
      </c>
    </row>
    <row r="263">
      <c r="A263" t="inlineStr">
        <is>
          <t>Fresh Milk</t>
        </is>
      </c>
      <c r="B263" t="inlineStr">
        <is>
          <t>Mint Chocolate</t>
        </is>
      </c>
      <c r="C263" t="inlineStr">
        <is>
          <t>2026-06</t>
        </is>
      </c>
      <c r="D263" t="inlineStr">
        <is>
          <t>PJ</t>
        </is>
      </c>
      <c r="E263" t="n">
        <v>44</v>
      </c>
      <c r="F263" t="n">
        <v>120</v>
      </c>
      <c r="G263">
        <f>E263*F263</f>
        <v/>
      </c>
    </row>
    <row r="264">
      <c r="A264" t="inlineStr">
        <is>
          <t>Fresh Milk</t>
        </is>
      </c>
      <c r="B264" t="inlineStr">
        <is>
          <t>Mint Chocolate</t>
        </is>
      </c>
      <c r="C264" t="inlineStr">
        <is>
          <t>2026-06</t>
        </is>
      </c>
      <c r="D264" t="inlineStr">
        <is>
          <t>SA</t>
        </is>
      </c>
      <c r="E264" t="n">
        <v>63</v>
      </c>
      <c r="F264" t="n">
        <v>120</v>
      </c>
      <c r="G264">
        <f>E264*F264</f>
        <v/>
      </c>
    </row>
    <row r="265">
      <c r="A265" t="inlineStr">
        <is>
          <t>Fresh Milk</t>
        </is>
      </c>
      <c r="B265" t="inlineStr">
        <is>
          <t>Mint Chocolate</t>
        </is>
      </c>
      <c r="C265" t="inlineStr">
        <is>
          <t>2026-06</t>
        </is>
      </c>
      <c r="D265" t="inlineStr">
        <is>
          <t>TAM</t>
        </is>
      </c>
      <c r="E265" t="n">
        <v>44</v>
      </c>
      <c r="F265" t="n">
        <v>120</v>
      </c>
      <c r="G265">
        <f>E265*F265</f>
        <v/>
      </c>
    </row>
    <row r="266">
      <c r="A266" t="inlineStr">
        <is>
          <t>Fresh Milk</t>
        </is>
      </c>
      <c r="B266" t="inlineStr">
        <is>
          <t>Mint Chocolate</t>
        </is>
      </c>
      <c r="C266" t="inlineStr">
        <is>
          <t>2026-07</t>
        </is>
      </c>
      <c r="D266" t="inlineStr">
        <is>
          <t>PJ</t>
        </is>
      </c>
      <c r="E266" t="n">
        <v>31</v>
      </c>
      <c r="F266" t="n">
        <v>120</v>
      </c>
      <c r="G266">
        <f>E266*F266</f>
        <v/>
      </c>
    </row>
    <row r="267">
      <c r="A267" t="inlineStr">
        <is>
          <t>Fresh Milk</t>
        </is>
      </c>
      <c r="B267" t="inlineStr">
        <is>
          <t>Mint Chocolate</t>
        </is>
      </c>
      <c r="C267" t="inlineStr">
        <is>
          <t>2026-07</t>
        </is>
      </c>
      <c r="D267" t="inlineStr">
        <is>
          <t>SA</t>
        </is>
      </c>
      <c r="E267" t="n">
        <v>49</v>
      </c>
      <c r="F267" t="n">
        <v>120</v>
      </c>
      <c r="G267">
        <f>E267*F267</f>
        <v/>
      </c>
    </row>
    <row r="268">
      <c r="A268" t="inlineStr">
        <is>
          <t>Fresh Milk</t>
        </is>
      </c>
      <c r="B268" t="inlineStr">
        <is>
          <t>Mint Chocolate</t>
        </is>
      </c>
      <c r="C268" t="inlineStr">
        <is>
          <t>2026-07</t>
        </is>
      </c>
      <c r="D268" t="inlineStr">
        <is>
          <t>TAM</t>
        </is>
      </c>
      <c r="E268" t="n">
        <v>19</v>
      </c>
      <c r="F268" t="n">
        <v>120</v>
      </c>
      <c r="G268">
        <f>E268*F268</f>
        <v/>
      </c>
    </row>
    <row r="269">
      <c r="A269" t="inlineStr">
        <is>
          <t>Fresh Milk</t>
        </is>
      </c>
      <c r="B269" t="inlineStr">
        <is>
          <t>Mint Matcha</t>
        </is>
      </c>
      <c r="C269" t="inlineStr">
        <is>
          <t>2026-04</t>
        </is>
      </c>
      <c r="D269" t="inlineStr">
        <is>
          <t>PJ</t>
        </is>
      </c>
      <c r="E269" t="n">
        <v>42</v>
      </c>
      <c r="F269" t="n">
        <v>120</v>
      </c>
      <c r="G269">
        <f>E269*F269</f>
        <v/>
      </c>
    </row>
    <row r="270">
      <c r="A270" t="inlineStr">
        <is>
          <t>Fresh Milk</t>
        </is>
      </c>
      <c r="B270" t="inlineStr">
        <is>
          <t>Mint Matcha</t>
        </is>
      </c>
      <c r="C270" t="inlineStr">
        <is>
          <t>2026-04</t>
        </is>
      </c>
      <c r="D270" t="inlineStr">
        <is>
          <t>SA</t>
        </is>
      </c>
      <c r="E270" t="n">
        <v>30</v>
      </c>
      <c r="F270" t="n">
        <v>120</v>
      </c>
      <c r="G270">
        <f>E270*F270</f>
        <v/>
      </c>
    </row>
    <row r="271">
      <c r="A271" t="inlineStr">
        <is>
          <t>Fresh Milk</t>
        </is>
      </c>
      <c r="B271" t="inlineStr">
        <is>
          <t>Mint Matcha</t>
        </is>
      </c>
      <c r="C271" t="inlineStr">
        <is>
          <t>2026-04</t>
        </is>
      </c>
      <c r="D271" t="inlineStr">
        <is>
          <t>TAM</t>
        </is>
      </c>
      <c r="E271" t="n">
        <v>17</v>
      </c>
      <c r="F271" t="n">
        <v>120</v>
      </c>
      <c r="G271">
        <f>E271*F271</f>
        <v/>
      </c>
    </row>
    <row r="272">
      <c r="A272" t="inlineStr">
        <is>
          <t>Fresh Milk</t>
        </is>
      </c>
      <c r="B272" t="inlineStr">
        <is>
          <t>Mint Matcha</t>
        </is>
      </c>
      <c r="C272" t="inlineStr">
        <is>
          <t>2026-05</t>
        </is>
      </c>
      <c r="D272" t="inlineStr">
        <is>
          <t>PJ</t>
        </is>
      </c>
      <c r="E272" t="n">
        <v>24</v>
      </c>
      <c r="F272" t="n">
        <v>120</v>
      </c>
      <c r="G272">
        <f>E272*F272</f>
        <v/>
      </c>
    </row>
    <row r="273">
      <c r="A273" t="inlineStr">
        <is>
          <t>Fresh Milk</t>
        </is>
      </c>
      <c r="B273" t="inlineStr">
        <is>
          <t>Mint Matcha</t>
        </is>
      </c>
      <c r="C273" t="inlineStr">
        <is>
          <t>2026-05</t>
        </is>
      </c>
      <c r="D273" t="inlineStr">
        <is>
          <t>SA</t>
        </is>
      </c>
      <c r="E273" t="n">
        <v>38</v>
      </c>
      <c r="F273" t="n">
        <v>120</v>
      </c>
      <c r="G273">
        <f>E273*F273</f>
        <v/>
      </c>
    </row>
    <row r="274">
      <c r="A274" t="inlineStr">
        <is>
          <t>Fresh Milk</t>
        </is>
      </c>
      <c r="B274" t="inlineStr">
        <is>
          <t>Mint Matcha</t>
        </is>
      </c>
      <c r="C274" t="inlineStr">
        <is>
          <t>2026-05</t>
        </is>
      </c>
      <c r="D274" t="inlineStr">
        <is>
          <t>TAM</t>
        </is>
      </c>
      <c r="E274" t="n">
        <v>12</v>
      </c>
      <c r="F274" t="n">
        <v>120</v>
      </c>
      <c r="G274">
        <f>E274*F274</f>
        <v/>
      </c>
    </row>
    <row r="275">
      <c r="A275" t="inlineStr">
        <is>
          <t>Fresh Milk</t>
        </is>
      </c>
      <c r="B275" t="inlineStr">
        <is>
          <t>Mint Matcha</t>
        </is>
      </c>
      <c r="C275" t="inlineStr">
        <is>
          <t>2026-06</t>
        </is>
      </c>
      <c r="D275" t="inlineStr">
        <is>
          <t>PJ</t>
        </is>
      </c>
      <c r="E275" t="n">
        <v>17</v>
      </c>
      <c r="F275" t="n">
        <v>120</v>
      </c>
      <c r="G275">
        <f>E275*F275</f>
        <v/>
      </c>
    </row>
    <row r="276">
      <c r="A276" t="inlineStr">
        <is>
          <t>Fresh Milk</t>
        </is>
      </c>
      <c r="B276" t="inlineStr">
        <is>
          <t>Mint Matcha</t>
        </is>
      </c>
      <c r="C276" t="inlineStr">
        <is>
          <t>2026-06</t>
        </is>
      </c>
      <c r="D276" t="inlineStr">
        <is>
          <t>SA</t>
        </is>
      </c>
      <c r="E276" t="n">
        <v>20</v>
      </c>
      <c r="F276" t="n">
        <v>120</v>
      </c>
      <c r="G276">
        <f>E276*F276</f>
        <v/>
      </c>
    </row>
    <row r="277">
      <c r="A277" t="inlineStr">
        <is>
          <t>Fresh Milk</t>
        </is>
      </c>
      <c r="B277" t="inlineStr">
        <is>
          <t>Mint Matcha</t>
        </is>
      </c>
      <c r="C277" t="inlineStr">
        <is>
          <t>2026-06</t>
        </is>
      </c>
      <c r="D277" t="inlineStr">
        <is>
          <t>TAM</t>
        </is>
      </c>
      <c r="E277" t="n">
        <v>11</v>
      </c>
      <c r="F277" t="n">
        <v>120</v>
      </c>
      <c r="G277">
        <f>E277*F277</f>
        <v/>
      </c>
    </row>
    <row r="278">
      <c r="A278" t="inlineStr">
        <is>
          <t>Fresh Milk</t>
        </is>
      </c>
      <c r="B278" t="inlineStr">
        <is>
          <t>Mint Matcha</t>
        </is>
      </c>
      <c r="C278" t="inlineStr">
        <is>
          <t>2026-07</t>
        </is>
      </c>
      <c r="D278" t="inlineStr">
        <is>
          <t>PJ</t>
        </is>
      </c>
      <c r="E278" t="n">
        <v>10</v>
      </c>
      <c r="F278" t="n">
        <v>120</v>
      </c>
      <c r="G278">
        <f>E278*F278</f>
        <v/>
      </c>
    </row>
    <row r="279">
      <c r="A279" t="inlineStr">
        <is>
          <t>Fresh Milk</t>
        </is>
      </c>
      <c r="B279" t="inlineStr">
        <is>
          <t>Mint Matcha</t>
        </is>
      </c>
      <c r="C279" t="inlineStr">
        <is>
          <t>2026-07</t>
        </is>
      </c>
      <c r="D279" t="inlineStr">
        <is>
          <t>SA</t>
        </is>
      </c>
      <c r="E279" t="n">
        <v>20</v>
      </c>
      <c r="F279" t="n">
        <v>120</v>
      </c>
      <c r="G279">
        <f>E279*F279</f>
        <v/>
      </c>
    </row>
    <row r="280">
      <c r="A280" t="inlineStr">
        <is>
          <t>Fresh Milk</t>
        </is>
      </c>
      <c r="B280" t="inlineStr">
        <is>
          <t>Mint Matcha</t>
        </is>
      </c>
      <c r="C280" t="inlineStr">
        <is>
          <t>2026-07</t>
        </is>
      </c>
      <c r="D280" t="inlineStr">
        <is>
          <t>TAM</t>
        </is>
      </c>
      <c r="E280" t="n">
        <v>9</v>
      </c>
      <c r="F280" t="n">
        <v>120</v>
      </c>
      <c r="G280">
        <f>E280*F280</f>
        <v/>
      </c>
    </row>
    <row r="281">
      <c r="A281" t="inlineStr">
        <is>
          <t>Fresh Milk</t>
        </is>
      </c>
      <c r="B281" t="inlineStr">
        <is>
          <t>Mocha</t>
        </is>
      </c>
      <c r="C281" t="inlineStr">
        <is>
          <t>2026-04</t>
        </is>
      </c>
      <c r="D281" t="inlineStr">
        <is>
          <t>PJ</t>
        </is>
      </c>
      <c r="E281" t="n">
        <v>127</v>
      </c>
      <c r="F281" t="n">
        <v>120</v>
      </c>
      <c r="G281">
        <f>E281*F281</f>
        <v/>
      </c>
    </row>
    <row r="282">
      <c r="A282" t="inlineStr">
        <is>
          <t>Fresh Milk</t>
        </is>
      </c>
      <c r="B282" t="inlineStr">
        <is>
          <t>Mocha</t>
        </is>
      </c>
      <c r="C282" t="inlineStr">
        <is>
          <t>2026-04</t>
        </is>
      </c>
      <c r="D282" t="inlineStr">
        <is>
          <t>SA</t>
        </is>
      </c>
      <c r="E282" t="n">
        <v>79</v>
      </c>
      <c r="F282" t="n">
        <v>120</v>
      </c>
      <c r="G282">
        <f>E282*F282</f>
        <v/>
      </c>
    </row>
    <row r="283">
      <c r="A283" t="inlineStr">
        <is>
          <t>Fresh Milk</t>
        </is>
      </c>
      <c r="B283" t="inlineStr">
        <is>
          <t>Mocha</t>
        </is>
      </c>
      <c r="C283" t="inlineStr">
        <is>
          <t>2026-04</t>
        </is>
      </c>
      <c r="D283" t="inlineStr">
        <is>
          <t>TAM</t>
        </is>
      </c>
      <c r="E283" t="n">
        <v>80</v>
      </c>
      <c r="F283" t="n">
        <v>120</v>
      </c>
      <c r="G283">
        <f>E283*F283</f>
        <v/>
      </c>
    </row>
    <row r="284">
      <c r="A284" t="inlineStr">
        <is>
          <t>Fresh Milk</t>
        </is>
      </c>
      <c r="B284" t="inlineStr">
        <is>
          <t>Mocha</t>
        </is>
      </c>
      <c r="C284" t="inlineStr">
        <is>
          <t>2026-05</t>
        </is>
      </c>
      <c r="D284" t="inlineStr">
        <is>
          <t>PJ</t>
        </is>
      </c>
      <c r="E284" t="n">
        <v>118</v>
      </c>
      <c r="F284" t="n">
        <v>120</v>
      </c>
      <c r="G284">
        <f>E284*F284</f>
        <v/>
      </c>
    </row>
    <row r="285">
      <c r="A285" t="inlineStr">
        <is>
          <t>Fresh Milk</t>
        </is>
      </c>
      <c r="B285" t="inlineStr">
        <is>
          <t>Mocha</t>
        </is>
      </c>
      <c r="C285" t="inlineStr">
        <is>
          <t>2026-05</t>
        </is>
      </c>
      <c r="D285" t="inlineStr">
        <is>
          <t>SA</t>
        </is>
      </c>
      <c r="E285" t="n">
        <v>87</v>
      </c>
      <c r="F285" t="n">
        <v>120</v>
      </c>
      <c r="G285">
        <f>E285*F285</f>
        <v/>
      </c>
    </row>
    <row r="286">
      <c r="A286" t="inlineStr">
        <is>
          <t>Fresh Milk</t>
        </is>
      </c>
      <c r="B286" t="inlineStr">
        <is>
          <t>Mocha</t>
        </is>
      </c>
      <c r="C286" t="inlineStr">
        <is>
          <t>2026-05</t>
        </is>
      </c>
      <c r="D286" t="inlineStr">
        <is>
          <t>TAM</t>
        </is>
      </c>
      <c r="E286" t="n">
        <v>70</v>
      </c>
      <c r="F286" t="n">
        <v>120</v>
      </c>
      <c r="G286">
        <f>E286*F286</f>
        <v/>
      </c>
    </row>
    <row r="287">
      <c r="A287" t="inlineStr">
        <is>
          <t>Fresh Milk</t>
        </is>
      </c>
      <c r="B287" t="inlineStr">
        <is>
          <t>Mocha</t>
        </is>
      </c>
      <c r="C287" t="inlineStr">
        <is>
          <t>2026-06</t>
        </is>
      </c>
      <c r="D287" t="inlineStr">
        <is>
          <t>PJ</t>
        </is>
      </c>
      <c r="E287" t="n">
        <v>81</v>
      </c>
      <c r="F287" t="n">
        <v>120</v>
      </c>
      <c r="G287">
        <f>E287*F287</f>
        <v/>
      </c>
    </row>
    <row r="288">
      <c r="A288" t="inlineStr">
        <is>
          <t>Fresh Milk</t>
        </is>
      </c>
      <c r="B288" t="inlineStr">
        <is>
          <t>Mocha</t>
        </is>
      </c>
      <c r="C288" t="inlineStr">
        <is>
          <t>2026-06</t>
        </is>
      </c>
      <c r="D288" t="inlineStr">
        <is>
          <t>SA</t>
        </is>
      </c>
      <c r="E288" t="n">
        <v>65</v>
      </c>
      <c r="F288" t="n">
        <v>120</v>
      </c>
      <c r="G288">
        <f>E288*F288</f>
        <v/>
      </c>
    </row>
    <row r="289">
      <c r="A289" t="inlineStr">
        <is>
          <t>Fresh Milk</t>
        </is>
      </c>
      <c r="B289" t="inlineStr">
        <is>
          <t>Mocha</t>
        </is>
      </c>
      <c r="C289" t="inlineStr">
        <is>
          <t>2026-06</t>
        </is>
      </c>
      <c r="D289" t="inlineStr">
        <is>
          <t>TAM</t>
        </is>
      </c>
      <c r="E289" t="n">
        <v>55</v>
      </c>
      <c r="F289" t="n">
        <v>120</v>
      </c>
      <c r="G289">
        <f>E289*F289</f>
        <v/>
      </c>
    </row>
    <row r="290">
      <c r="A290" t="inlineStr">
        <is>
          <t>Fresh Milk</t>
        </is>
      </c>
      <c r="B290" t="inlineStr">
        <is>
          <t>Mocha</t>
        </is>
      </c>
      <c r="C290" t="inlineStr">
        <is>
          <t>2026-07</t>
        </is>
      </c>
      <c r="D290" t="inlineStr">
        <is>
          <t>PJ</t>
        </is>
      </c>
      <c r="E290" t="n">
        <v>83</v>
      </c>
      <c r="F290" t="n">
        <v>120</v>
      </c>
      <c r="G290">
        <f>E290*F290</f>
        <v/>
      </c>
    </row>
    <row r="291">
      <c r="A291" t="inlineStr">
        <is>
          <t>Fresh Milk</t>
        </is>
      </c>
      <c r="B291" t="inlineStr">
        <is>
          <t>Mocha</t>
        </is>
      </c>
      <c r="C291" t="inlineStr">
        <is>
          <t>2026-07</t>
        </is>
      </c>
      <c r="D291" t="inlineStr">
        <is>
          <t>SA</t>
        </is>
      </c>
      <c r="E291" t="n">
        <v>43</v>
      </c>
      <c r="F291" t="n">
        <v>120</v>
      </c>
      <c r="G291">
        <f>E291*F291</f>
        <v/>
      </c>
    </row>
    <row r="292">
      <c r="A292" t="inlineStr">
        <is>
          <t>Fresh Milk</t>
        </is>
      </c>
      <c r="B292" t="inlineStr">
        <is>
          <t>Mocha</t>
        </is>
      </c>
      <c r="C292" t="inlineStr">
        <is>
          <t>2026-07</t>
        </is>
      </c>
      <c r="D292" t="inlineStr">
        <is>
          <t>TAM</t>
        </is>
      </c>
      <c r="E292" t="n">
        <v>55</v>
      </c>
      <c r="F292" t="n">
        <v>120</v>
      </c>
      <c r="G292">
        <f>E292*F292</f>
        <v/>
      </c>
    </row>
    <row r="293">
      <c r="A293" t="inlineStr">
        <is>
          <t>Fresh Milk</t>
        </is>
      </c>
      <c r="B293" t="inlineStr">
        <is>
          <t>Mocha (Bottle)</t>
        </is>
      </c>
      <c r="C293" t="inlineStr">
        <is>
          <t>2026-04</t>
        </is>
      </c>
      <c r="D293" t="inlineStr">
        <is>
          <t>TAM</t>
        </is>
      </c>
      <c r="E293" t="n">
        <v>1</v>
      </c>
      <c r="F293" t="n">
        <v>130</v>
      </c>
      <c r="G293">
        <f>E293*F293</f>
        <v/>
      </c>
    </row>
    <row r="294">
      <c r="A294" t="inlineStr">
        <is>
          <t>Fresh Milk</t>
        </is>
      </c>
      <c r="B294" t="inlineStr">
        <is>
          <t>Mont Blanc</t>
        </is>
      </c>
      <c r="C294" t="inlineStr">
        <is>
          <t>2026-04</t>
        </is>
      </c>
      <c r="D294" t="inlineStr">
        <is>
          <t>PJ</t>
        </is>
      </c>
      <c r="E294" t="n">
        <v>138</v>
      </c>
      <c r="F294" t="n">
        <v>25</v>
      </c>
      <c r="G294">
        <f>E294*F294</f>
        <v/>
      </c>
    </row>
    <row r="295">
      <c r="A295" t="inlineStr">
        <is>
          <t>Fresh Milk</t>
        </is>
      </c>
      <c r="B295" t="inlineStr">
        <is>
          <t>Mont Blanc</t>
        </is>
      </c>
      <c r="C295" t="inlineStr">
        <is>
          <t>2026-04</t>
        </is>
      </c>
      <c r="D295" t="inlineStr">
        <is>
          <t>SA</t>
        </is>
      </c>
      <c r="E295" t="n">
        <v>164</v>
      </c>
      <c r="F295" t="n">
        <v>25</v>
      </c>
      <c r="G295">
        <f>E295*F295</f>
        <v/>
      </c>
    </row>
    <row r="296">
      <c r="A296" t="inlineStr">
        <is>
          <t>Fresh Milk</t>
        </is>
      </c>
      <c r="B296" t="inlineStr">
        <is>
          <t>Mont Blanc</t>
        </is>
      </c>
      <c r="C296" t="inlineStr">
        <is>
          <t>2026-04</t>
        </is>
      </c>
      <c r="D296" t="inlineStr">
        <is>
          <t>TAM</t>
        </is>
      </c>
      <c r="E296" t="n">
        <v>173</v>
      </c>
      <c r="F296" t="n">
        <v>25</v>
      </c>
      <c r="G296">
        <f>E296*F296</f>
        <v/>
      </c>
    </row>
    <row r="297">
      <c r="A297" t="inlineStr">
        <is>
          <t>Fresh Milk</t>
        </is>
      </c>
      <c r="B297" t="inlineStr">
        <is>
          <t>Mont Blanc</t>
        </is>
      </c>
      <c r="C297" t="inlineStr">
        <is>
          <t>2026-05</t>
        </is>
      </c>
      <c r="D297" t="inlineStr">
        <is>
          <t>PJ</t>
        </is>
      </c>
      <c r="E297" t="n">
        <v>149</v>
      </c>
      <c r="F297" t="n">
        <v>25</v>
      </c>
      <c r="G297">
        <f>E297*F297</f>
        <v/>
      </c>
    </row>
    <row r="298">
      <c r="A298" t="inlineStr">
        <is>
          <t>Fresh Milk</t>
        </is>
      </c>
      <c r="B298" t="inlineStr">
        <is>
          <t>Mont Blanc</t>
        </is>
      </c>
      <c r="C298" t="inlineStr">
        <is>
          <t>2026-05</t>
        </is>
      </c>
      <c r="D298" t="inlineStr">
        <is>
          <t>SA</t>
        </is>
      </c>
      <c r="E298" t="n">
        <v>224</v>
      </c>
      <c r="F298" t="n">
        <v>25</v>
      </c>
      <c r="G298">
        <f>E298*F298</f>
        <v/>
      </c>
    </row>
    <row r="299">
      <c r="A299" t="inlineStr">
        <is>
          <t>Fresh Milk</t>
        </is>
      </c>
      <c r="B299" t="inlineStr">
        <is>
          <t>Mont Blanc</t>
        </is>
      </c>
      <c r="C299" t="inlineStr">
        <is>
          <t>2026-05</t>
        </is>
      </c>
      <c r="D299" t="inlineStr">
        <is>
          <t>TAM</t>
        </is>
      </c>
      <c r="E299" t="n">
        <v>148</v>
      </c>
      <c r="F299" t="n">
        <v>25</v>
      </c>
      <c r="G299">
        <f>E299*F299</f>
        <v/>
      </c>
    </row>
    <row r="300">
      <c r="A300" t="inlineStr">
        <is>
          <t>Fresh Milk</t>
        </is>
      </c>
      <c r="B300" t="inlineStr">
        <is>
          <t>Mont Blanc</t>
        </is>
      </c>
      <c r="C300" t="inlineStr">
        <is>
          <t>2026-06</t>
        </is>
      </c>
      <c r="D300" t="inlineStr">
        <is>
          <t>PJ</t>
        </is>
      </c>
      <c r="E300" t="n">
        <v>135</v>
      </c>
      <c r="F300" t="n">
        <v>25</v>
      </c>
      <c r="G300">
        <f>E300*F300</f>
        <v/>
      </c>
    </row>
    <row r="301">
      <c r="A301" t="inlineStr">
        <is>
          <t>Fresh Milk</t>
        </is>
      </c>
      <c r="B301" t="inlineStr">
        <is>
          <t>Mont Blanc</t>
        </is>
      </c>
      <c r="C301" t="inlineStr">
        <is>
          <t>2026-06</t>
        </is>
      </c>
      <c r="D301" t="inlineStr">
        <is>
          <t>SA</t>
        </is>
      </c>
      <c r="E301" t="n">
        <v>208</v>
      </c>
      <c r="F301" t="n">
        <v>25</v>
      </c>
      <c r="G301">
        <f>E301*F301</f>
        <v/>
      </c>
    </row>
    <row r="302">
      <c r="A302" t="inlineStr">
        <is>
          <t>Fresh Milk</t>
        </is>
      </c>
      <c r="B302" t="inlineStr">
        <is>
          <t>Mont Blanc</t>
        </is>
      </c>
      <c r="C302" t="inlineStr">
        <is>
          <t>2026-06</t>
        </is>
      </c>
      <c r="D302" t="inlineStr">
        <is>
          <t>TAM</t>
        </is>
      </c>
      <c r="E302" t="n">
        <v>148</v>
      </c>
      <c r="F302" t="n">
        <v>25</v>
      </c>
      <c r="G302">
        <f>E302*F302</f>
        <v/>
      </c>
    </row>
    <row r="303">
      <c r="A303" t="inlineStr">
        <is>
          <t>Fresh Milk</t>
        </is>
      </c>
      <c r="B303" t="inlineStr">
        <is>
          <t>Mont Blanc</t>
        </is>
      </c>
      <c r="C303" t="inlineStr">
        <is>
          <t>2026-07</t>
        </is>
      </c>
      <c r="D303" t="inlineStr">
        <is>
          <t>PJ</t>
        </is>
      </c>
      <c r="E303" t="n">
        <v>124</v>
      </c>
      <c r="F303" t="n">
        <v>25</v>
      </c>
      <c r="G303">
        <f>E303*F303</f>
        <v/>
      </c>
    </row>
    <row r="304">
      <c r="A304" t="inlineStr">
        <is>
          <t>Fresh Milk</t>
        </is>
      </c>
      <c r="B304" t="inlineStr">
        <is>
          <t>Mont Blanc</t>
        </is>
      </c>
      <c r="C304" t="inlineStr">
        <is>
          <t>2026-07</t>
        </is>
      </c>
      <c r="D304" t="inlineStr">
        <is>
          <t>SA</t>
        </is>
      </c>
      <c r="E304" t="n">
        <v>181</v>
      </c>
      <c r="F304" t="n">
        <v>25</v>
      </c>
      <c r="G304">
        <f>E304*F304</f>
        <v/>
      </c>
    </row>
    <row r="305">
      <c r="A305" t="inlineStr">
        <is>
          <t>Fresh Milk</t>
        </is>
      </c>
      <c r="B305" t="inlineStr">
        <is>
          <t>Mont Blanc</t>
        </is>
      </c>
      <c r="C305" t="inlineStr">
        <is>
          <t>2026-07</t>
        </is>
      </c>
      <c r="D305" t="inlineStr">
        <is>
          <t>TAM</t>
        </is>
      </c>
      <c r="E305" t="n">
        <v>117</v>
      </c>
      <c r="F305" t="n">
        <v>25</v>
      </c>
      <c r="G305">
        <f>E305*F305</f>
        <v/>
      </c>
    </row>
    <row r="306">
      <c r="A306" t="inlineStr">
        <is>
          <t>Fresh Milk</t>
        </is>
      </c>
      <c r="B306" t="inlineStr">
        <is>
          <t>Peanut Butter Mocha</t>
        </is>
      </c>
      <c r="C306" t="inlineStr">
        <is>
          <t>2026-04</t>
        </is>
      </c>
      <c r="D306" t="inlineStr">
        <is>
          <t>PJ</t>
        </is>
      </c>
      <c r="E306" t="n">
        <v>66</v>
      </c>
      <c r="F306" t="n">
        <v>120</v>
      </c>
      <c r="G306">
        <f>E306*F306</f>
        <v/>
      </c>
    </row>
    <row r="307">
      <c r="A307" t="inlineStr">
        <is>
          <t>Fresh Milk</t>
        </is>
      </c>
      <c r="B307" t="inlineStr">
        <is>
          <t>Peanut Butter Mocha</t>
        </is>
      </c>
      <c r="C307" t="inlineStr">
        <is>
          <t>2026-04</t>
        </is>
      </c>
      <c r="D307" t="inlineStr">
        <is>
          <t>SA</t>
        </is>
      </c>
      <c r="E307" t="n">
        <v>54</v>
      </c>
      <c r="F307" t="n">
        <v>120</v>
      </c>
      <c r="G307">
        <f>E307*F307</f>
        <v/>
      </c>
    </row>
    <row r="308">
      <c r="A308" t="inlineStr">
        <is>
          <t>Fresh Milk</t>
        </is>
      </c>
      <c r="B308" t="inlineStr">
        <is>
          <t>Peanut Butter Mocha</t>
        </is>
      </c>
      <c r="C308" t="inlineStr">
        <is>
          <t>2026-04</t>
        </is>
      </c>
      <c r="D308" t="inlineStr">
        <is>
          <t>TAM</t>
        </is>
      </c>
      <c r="E308" t="n">
        <v>59</v>
      </c>
      <c r="F308" t="n">
        <v>120</v>
      </c>
      <c r="G308">
        <f>E308*F308</f>
        <v/>
      </c>
    </row>
    <row r="309">
      <c r="A309" t="inlineStr">
        <is>
          <t>Fresh Milk</t>
        </is>
      </c>
      <c r="B309" t="inlineStr">
        <is>
          <t>Peanut Butter Mocha</t>
        </is>
      </c>
      <c r="C309" t="inlineStr">
        <is>
          <t>2026-05</t>
        </is>
      </c>
      <c r="D309" t="inlineStr">
        <is>
          <t>PJ</t>
        </is>
      </c>
      <c r="E309" t="n">
        <v>78</v>
      </c>
      <c r="F309" t="n">
        <v>120</v>
      </c>
      <c r="G309">
        <f>E309*F309</f>
        <v/>
      </c>
    </row>
    <row r="310">
      <c r="A310" t="inlineStr">
        <is>
          <t>Fresh Milk</t>
        </is>
      </c>
      <c r="B310" t="inlineStr">
        <is>
          <t>Peanut Butter Mocha</t>
        </is>
      </c>
      <c r="C310" t="inlineStr">
        <is>
          <t>2026-05</t>
        </is>
      </c>
      <c r="D310" t="inlineStr">
        <is>
          <t>SA</t>
        </is>
      </c>
      <c r="E310" t="n">
        <v>77</v>
      </c>
      <c r="F310" t="n">
        <v>120</v>
      </c>
      <c r="G310">
        <f>E310*F310</f>
        <v/>
      </c>
    </row>
    <row r="311">
      <c r="A311" t="inlineStr">
        <is>
          <t>Fresh Milk</t>
        </is>
      </c>
      <c r="B311" t="inlineStr">
        <is>
          <t>Peanut Butter Mocha</t>
        </is>
      </c>
      <c r="C311" t="inlineStr">
        <is>
          <t>2026-05</t>
        </is>
      </c>
      <c r="D311" t="inlineStr">
        <is>
          <t>TAM</t>
        </is>
      </c>
      <c r="E311" t="n">
        <v>53</v>
      </c>
      <c r="F311" t="n">
        <v>120</v>
      </c>
      <c r="G311">
        <f>E311*F311</f>
        <v/>
      </c>
    </row>
    <row r="312">
      <c r="A312" t="inlineStr">
        <is>
          <t>Fresh Milk</t>
        </is>
      </c>
      <c r="B312" t="inlineStr">
        <is>
          <t>Peanut Butter Mocha</t>
        </is>
      </c>
      <c r="C312" t="inlineStr">
        <is>
          <t>2026-06</t>
        </is>
      </c>
      <c r="D312" t="inlineStr">
        <is>
          <t>PJ</t>
        </is>
      </c>
      <c r="E312" t="n">
        <v>42</v>
      </c>
      <c r="F312" t="n">
        <v>120</v>
      </c>
      <c r="G312">
        <f>E312*F312</f>
        <v/>
      </c>
    </row>
    <row r="313">
      <c r="A313" t="inlineStr">
        <is>
          <t>Fresh Milk</t>
        </is>
      </c>
      <c r="B313" t="inlineStr">
        <is>
          <t>Peanut Butter Mocha</t>
        </is>
      </c>
      <c r="C313" t="inlineStr">
        <is>
          <t>2026-06</t>
        </is>
      </c>
      <c r="D313" t="inlineStr">
        <is>
          <t>SA</t>
        </is>
      </c>
      <c r="E313" t="n">
        <v>36</v>
      </c>
      <c r="F313" t="n">
        <v>120</v>
      </c>
      <c r="G313">
        <f>E313*F313</f>
        <v/>
      </c>
    </row>
    <row r="314">
      <c r="A314" t="inlineStr">
        <is>
          <t>Fresh Milk</t>
        </is>
      </c>
      <c r="B314" t="inlineStr">
        <is>
          <t>Peanut Butter Mocha</t>
        </is>
      </c>
      <c r="C314" t="inlineStr">
        <is>
          <t>2026-06</t>
        </is>
      </c>
      <c r="D314" t="inlineStr">
        <is>
          <t>TAM</t>
        </is>
      </c>
      <c r="E314" t="n">
        <v>52</v>
      </c>
      <c r="F314" t="n">
        <v>120</v>
      </c>
      <c r="G314">
        <f>E314*F314</f>
        <v/>
      </c>
    </row>
    <row r="315">
      <c r="A315" t="inlineStr">
        <is>
          <t>Fresh Milk</t>
        </is>
      </c>
      <c r="B315" t="inlineStr">
        <is>
          <t>Peanut Butter Mocha</t>
        </is>
      </c>
      <c r="C315" t="inlineStr">
        <is>
          <t>2026-07</t>
        </is>
      </c>
      <c r="D315" t="inlineStr">
        <is>
          <t>PJ</t>
        </is>
      </c>
      <c r="E315" t="n">
        <v>18</v>
      </c>
      <c r="F315" t="n">
        <v>120</v>
      </c>
      <c r="G315">
        <f>E315*F315</f>
        <v/>
      </c>
    </row>
    <row r="316">
      <c r="A316" t="inlineStr">
        <is>
          <t>Fresh Milk</t>
        </is>
      </c>
      <c r="B316" t="inlineStr">
        <is>
          <t>Peanut Butter Mocha</t>
        </is>
      </c>
      <c r="C316" t="inlineStr">
        <is>
          <t>2026-07</t>
        </is>
      </c>
      <c r="D316" t="inlineStr">
        <is>
          <t>SA</t>
        </is>
      </c>
      <c r="E316" t="n">
        <v>43</v>
      </c>
      <c r="F316" t="n">
        <v>120</v>
      </c>
      <c r="G316">
        <f>E316*F316</f>
        <v/>
      </c>
    </row>
    <row r="317">
      <c r="A317" t="inlineStr">
        <is>
          <t>Fresh Milk</t>
        </is>
      </c>
      <c r="B317" t="inlineStr">
        <is>
          <t>Peanut Butter Mocha</t>
        </is>
      </c>
      <c r="C317" t="inlineStr">
        <is>
          <t>2026-07</t>
        </is>
      </c>
      <c r="D317" t="inlineStr">
        <is>
          <t>TAM</t>
        </is>
      </c>
      <c r="E317" t="n">
        <v>42</v>
      </c>
      <c r="F317" t="n">
        <v>120</v>
      </c>
      <c r="G317">
        <f>E317*F317</f>
        <v/>
      </c>
    </row>
    <row r="318">
      <c r="A318" t="inlineStr">
        <is>
          <t>Fresh Milk</t>
        </is>
      </c>
      <c r="B318" t="inlineStr">
        <is>
          <t>Piccolo</t>
        </is>
      </c>
      <c r="C318" t="inlineStr">
        <is>
          <t>2026-04</t>
        </is>
      </c>
      <c r="D318" t="inlineStr">
        <is>
          <t>PJ</t>
        </is>
      </c>
      <c r="E318" t="n">
        <v>75</v>
      </c>
      <c r="F318" t="n">
        <v>100</v>
      </c>
      <c r="G318">
        <f>E318*F318</f>
        <v/>
      </c>
    </row>
    <row r="319">
      <c r="A319" t="inlineStr">
        <is>
          <t>Fresh Milk</t>
        </is>
      </c>
      <c r="B319" t="inlineStr">
        <is>
          <t>Piccolo</t>
        </is>
      </c>
      <c r="C319" t="inlineStr">
        <is>
          <t>2026-04</t>
        </is>
      </c>
      <c r="D319" t="inlineStr">
        <is>
          <t>SA</t>
        </is>
      </c>
      <c r="E319" t="n">
        <v>38</v>
      </c>
      <c r="F319" t="n">
        <v>100</v>
      </c>
      <c r="G319">
        <f>E319*F319</f>
        <v/>
      </c>
    </row>
    <row r="320">
      <c r="A320" t="inlineStr">
        <is>
          <t>Fresh Milk</t>
        </is>
      </c>
      <c r="B320" t="inlineStr">
        <is>
          <t>Piccolo</t>
        </is>
      </c>
      <c r="C320" t="inlineStr">
        <is>
          <t>2026-04</t>
        </is>
      </c>
      <c r="D320" t="inlineStr">
        <is>
          <t>TAM</t>
        </is>
      </c>
      <c r="E320" t="n">
        <v>64</v>
      </c>
      <c r="F320" t="n">
        <v>100</v>
      </c>
      <c r="G320">
        <f>E320*F320</f>
        <v/>
      </c>
    </row>
    <row r="321">
      <c r="A321" t="inlineStr">
        <is>
          <t>Fresh Milk</t>
        </is>
      </c>
      <c r="B321" t="inlineStr">
        <is>
          <t>Piccolo</t>
        </is>
      </c>
      <c r="C321" t="inlineStr">
        <is>
          <t>2026-05</t>
        </is>
      </c>
      <c r="D321" t="inlineStr">
        <is>
          <t>PJ</t>
        </is>
      </c>
      <c r="E321" t="n">
        <v>75</v>
      </c>
      <c r="F321" t="n">
        <v>100</v>
      </c>
      <c r="G321">
        <f>E321*F321</f>
        <v/>
      </c>
    </row>
    <row r="322">
      <c r="A322" t="inlineStr">
        <is>
          <t>Fresh Milk</t>
        </is>
      </c>
      <c r="B322" t="inlineStr">
        <is>
          <t>Piccolo</t>
        </is>
      </c>
      <c r="C322" t="inlineStr">
        <is>
          <t>2026-05</t>
        </is>
      </c>
      <c r="D322" t="inlineStr">
        <is>
          <t>SA</t>
        </is>
      </c>
      <c r="E322" t="n">
        <v>41</v>
      </c>
      <c r="F322" t="n">
        <v>100</v>
      </c>
      <c r="G322">
        <f>E322*F322</f>
        <v/>
      </c>
    </row>
    <row r="323">
      <c r="A323" t="inlineStr">
        <is>
          <t>Fresh Milk</t>
        </is>
      </c>
      <c r="B323" t="inlineStr">
        <is>
          <t>Piccolo</t>
        </is>
      </c>
      <c r="C323" t="inlineStr">
        <is>
          <t>2026-05</t>
        </is>
      </c>
      <c r="D323" t="inlineStr">
        <is>
          <t>TAM</t>
        </is>
      </c>
      <c r="E323" t="n">
        <v>54</v>
      </c>
      <c r="F323" t="n">
        <v>100</v>
      </c>
      <c r="G323">
        <f>E323*F323</f>
        <v/>
      </c>
    </row>
    <row r="324">
      <c r="A324" t="inlineStr">
        <is>
          <t>Fresh Milk</t>
        </is>
      </c>
      <c r="B324" t="inlineStr">
        <is>
          <t>Piccolo</t>
        </is>
      </c>
      <c r="C324" t="inlineStr">
        <is>
          <t>2026-06</t>
        </is>
      </c>
      <c r="D324" t="inlineStr">
        <is>
          <t>PJ</t>
        </is>
      </c>
      <c r="E324" t="n">
        <v>60</v>
      </c>
      <c r="F324" t="n">
        <v>100</v>
      </c>
      <c r="G324">
        <f>E324*F324</f>
        <v/>
      </c>
    </row>
    <row r="325">
      <c r="A325" t="inlineStr">
        <is>
          <t>Fresh Milk</t>
        </is>
      </c>
      <c r="B325" t="inlineStr">
        <is>
          <t>Piccolo</t>
        </is>
      </c>
      <c r="C325" t="inlineStr">
        <is>
          <t>2026-06</t>
        </is>
      </c>
      <c r="D325" t="inlineStr">
        <is>
          <t>SA</t>
        </is>
      </c>
      <c r="E325" t="n">
        <v>36</v>
      </c>
      <c r="F325" t="n">
        <v>100</v>
      </c>
      <c r="G325">
        <f>E325*F325</f>
        <v/>
      </c>
    </row>
    <row r="326">
      <c r="A326" t="inlineStr">
        <is>
          <t>Fresh Milk</t>
        </is>
      </c>
      <c r="B326" t="inlineStr">
        <is>
          <t>Piccolo</t>
        </is>
      </c>
      <c r="C326" t="inlineStr">
        <is>
          <t>2026-06</t>
        </is>
      </c>
      <c r="D326" t="inlineStr">
        <is>
          <t>TAM</t>
        </is>
      </c>
      <c r="E326" t="n">
        <v>51</v>
      </c>
      <c r="F326" t="n">
        <v>100</v>
      </c>
      <c r="G326">
        <f>E326*F326</f>
        <v/>
      </c>
    </row>
    <row r="327">
      <c r="A327" t="inlineStr">
        <is>
          <t>Fresh Milk</t>
        </is>
      </c>
      <c r="B327" t="inlineStr">
        <is>
          <t>Piccolo</t>
        </is>
      </c>
      <c r="C327" t="inlineStr">
        <is>
          <t>2026-07</t>
        </is>
      </c>
      <c r="D327" t="inlineStr">
        <is>
          <t>PJ</t>
        </is>
      </c>
      <c r="E327" t="n">
        <v>35</v>
      </c>
      <c r="F327" t="n">
        <v>100</v>
      </c>
      <c r="G327">
        <f>E327*F327</f>
        <v/>
      </c>
    </row>
    <row r="328">
      <c r="A328" t="inlineStr">
        <is>
          <t>Fresh Milk</t>
        </is>
      </c>
      <c r="B328" t="inlineStr">
        <is>
          <t>Piccolo</t>
        </is>
      </c>
      <c r="C328" t="inlineStr">
        <is>
          <t>2026-07</t>
        </is>
      </c>
      <c r="D328" t="inlineStr">
        <is>
          <t>SA</t>
        </is>
      </c>
      <c r="E328" t="n">
        <v>24</v>
      </c>
      <c r="F328" t="n">
        <v>100</v>
      </c>
      <c r="G328">
        <f>E328*F328</f>
        <v/>
      </c>
    </row>
    <row r="329">
      <c r="A329" t="inlineStr">
        <is>
          <t>Fresh Milk</t>
        </is>
      </c>
      <c r="B329" t="inlineStr">
        <is>
          <t>Piccolo</t>
        </is>
      </c>
      <c r="C329" t="inlineStr">
        <is>
          <t>2026-07</t>
        </is>
      </c>
      <c r="D329" t="inlineStr">
        <is>
          <t>TAM</t>
        </is>
      </c>
      <c r="E329" t="n">
        <v>30</v>
      </c>
      <c r="F329" t="n">
        <v>100</v>
      </c>
      <c r="G329">
        <f>E329*F329</f>
        <v/>
      </c>
    </row>
    <row r="330">
      <c r="A330" t="inlineStr">
        <is>
          <t>Fresh Milk</t>
        </is>
      </c>
      <c r="B330" t="inlineStr">
        <is>
          <t>Salted Caramel Latte</t>
        </is>
      </c>
      <c r="C330" t="inlineStr">
        <is>
          <t>2026-04</t>
        </is>
      </c>
      <c r="D330" t="inlineStr">
        <is>
          <t>PJ</t>
        </is>
      </c>
      <c r="E330" t="n">
        <v>121</v>
      </c>
      <c r="F330" t="n">
        <v>120</v>
      </c>
      <c r="G330">
        <f>E330*F330</f>
        <v/>
      </c>
    </row>
    <row r="331">
      <c r="A331" t="inlineStr">
        <is>
          <t>Fresh Milk</t>
        </is>
      </c>
      <c r="B331" t="inlineStr">
        <is>
          <t>Salted Caramel Latte</t>
        </is>
      </c>
      <c r="C331" t="inlineStr">
        <is>
          <t>2026-04</t>
        </is>
      </c>
      <c r="D331" t="inlineStr">
        <is>
          <t>SA</t>
        </is>
      </c>
      <c r="E331" t="n">
        <v>100</v>
      </c>
      <c r="F331" t="n">
        <v>120</v>
      </c>
      <c r="G331">
        <f>E331*F331</f>
        <v/>
      </c>
    </row>
    <row r="332">
      <c r="A332" t="inlineStr">
        <is>
          <t>Fresh Milk</t>
        </is>
      </c>
      <c r="B332" t="inlineStr">
        <is>
          <t>Salted Caramel Latte</t>
        </is>
      </c>
      <c r="C332" t="inlineStr">
        <is>
          <t>2026-04</t>
        </is>
      </c>
      <c r="D332" t="inlineStr">
        <is>
          <t>TAM</t>
        </is>
      </c>
      <c r="E332" t="n">
        <v>125</v>
      </c>
      <c r="F332" t="n">
        <v>120</v>
      </c>
      <c r="G332">
        <f>E332*F332</f>
        <v/>
      </c>
    </row>
    <row r="333">
      <c r="A333" t="inlineStr">
        <is>
          <t>Fresh Milk</t>
        </is>
      </c>
      <c r="B333" t="inlineStr">
        <is>
          <t>Salted Caramel Latte</t>
        </is>
      </c>
      <c r="C333" t="inlineStr">
        <is>
          <t>2026-05</t>
        </is>
      </c>
      <c r="D333" t="inlineStr">
        <is>
          <t>PJ</t>
        </is>
      </c>
      <c r="E333" t="n">
        <v>144</v>
      </c>
      <c r="F333" t="n">
        <v>120</v>
      </c>
      <c r="G333">
        <f>E333*F333</f>
        <v/>
      </c>
    </row>
    <row r="334">
      <c r="A334" t="inlineStr">
        <is>
          <t>Fresh Milk</t>
        </is>
      </c>
      <c r="B334" t="inlineStr">
        <is>
          <t>Salted Caramel Latte</t>
        </is>
      </c>
      <c r="C334" t="inlineStr">
        <is>
          <t>2026-05</t>
        </is>
      </c>
      <c r="D334" t="inlineStr">
        <is>
          <t>SA</t>
        </is>
      </c>
      <c r="E334" t="n">
        <v>107</v>
      </c>
      <c r="F334" t="n">
        <v>120</v>
      </c>
      <c r="G334">
        <f>E334*F334</f>
        <v/>
      </c>
    </row>
    <row r="335">
      <c r="A335" t="inlineStr">
        <is>
          <t>Fresh Milk</t>
        </is>
      </c>
      <c r="B335" t="inlineStr">
        <is>
          <t>Salted Caramel Latte</t>
        </is>
      </c>
      <c r="C335" t="inlineStr">
        <is>
          <t>2026-05</t>
        </is>
      </c>
      <c r="D335" t="inlineStr">
        <is>
          <t>TAM</t>
        </is>
      </c>
      <c r="E335" t="n">
        <v>87</v>
      </c>
      <c r="F335" t="n">
        <v>120</v>
      </c>
      <c r="G335">
        <f>E335*F335</f>
        <v/>
      </c>
    </row>
    <row r="336">
      <c r="A336" t="inlineStr">
        <is>
          <t>Fresh Milk</t>
        </is>
      </c>
      <c r="B336" t="inlineStr">
        <is>
          <t>Salted Caramel Latte</t>
        </is>
      </c>
      <c r="C336" t="inlineStr">
        <is>
          <t>2026-06</t>
        </is>
      </c>
      <c r="D336" t="inlineStr">
        <is>
          <t>PJ</t>
        </is>
      </c>
      <c r="E336" t="n">
        <v>92</v>
      </c>
      <c r="F336" t="n">
        <v>120</v>
      </c>
      <c r="G336">
        <f>E336*F336</f>
        <v/>
      </c>
    </row>
    <row r="337">
      <c r="A337" t="inlineStr">
        <is>
          <t>Fresh Milk</t>
        </is>
      </c>
      <c r="B337" t="inlineStr">
        <is>
          <t>Salted Caramel Latte</t>
        </is>
      </c>
      <c r="C337" t="inlineStr">
        <is>
          <t>2026-06</t>
        </is>
      </c>
      <c r="D337" t="inlineStr">
        <is>
          <t>SA</t>
        </is>
      </c>
      <c r="E337" t="n">
        <v>98</v>
      </c>
      <c r="F337" t="n">
        <v>120</v>
      </c>
      <c r="G337">
        <f>E337*F337</f>
        <v/>
      </c>
    </row>
    <row r="338">
      <c r="A338" t="inlineStr">
        <is>
          <t>Fresh Milk</t>
        </is>
      </c>
      <c r="B338" t="inlineStr">
        <is>
          <t>Salted Caramel Latte</t>
        </is>
      </c>
      <c r="C338" t="inlineStr">
        <is>
          <t>2026-06</t>
        </is>
      </c>
      <c r="D338" t="inlineStr">
        <is>
          <t>TAM</t>
        </is>
      </c>
      <c r="E338" t="n">
        <v>91</v>
      </c>
      <c r="F338" t="n">
        <v>120</v>
      </c>
      <c r="G338">
        <f>E338*F338</f>
        <v/>
      </c>
    </row>
    <row r="339">
      <c r="A339" t="inlineStr">
        <is>
          <t>Fresh Milk</t>
        </is>
      </c>
      <c r="B339" t="inlineStr">
        <is>
          <t>Salted Caramel Latte</t>
        </is>
      </c>
      <c r="C339" t="inlineStr">
        <is>
          <t>2026-07</t>
        </is>
      </c>
      <c r="D339" t="inlineStr">
        <is>
          <t>PJ</t>
        </is>
      </c>
      <c r="E339" t="n">
        <v>87</v>
      </c>
      <c r="F339" t="n">
        <v>120</v>
      </c>
      <c r="G339">
        <f>E339*F339</f>
        <v/>
      </c>
    </row>
    <row r="340">
      <c r="A340" t="inlineStr">
        <is>
          <t>Fresh Milk</t>
        </is>
      </c>
      <c r="B340" t="inlineStr">
        <is>
          <t>Salted Caramel Latte</t>
        </is>
      </c>
      <c r="C340" t="inlineStr">
        <is>
          <t>2026-07</t>
        </is>
      </c>
      <c r="D340" t="inlineStr">
        <is>
          <t>SA</t>
        </is>
      </c>
      <c r="E340" t="n">
        <v>62</v>
      </c>
      <c r="F340" t="n">
        <v>120</v>
      </c>
      <c r="G340">
        <f>E340*F340</f>
        <v/>
      </c>
    </row>
    <row r="341">
      <c r="A341" t="inlineStr">
        <is>
          <t>Fresh Milk</t>
        </is>
      </c>
      <c r="B341" t="inlineStr">
        <is>
          <t>Salted Caramel Latte</t>
        </is>
      </c>
      <c r="C341" t="inlineStr">
        <is>
          <t>2026-07</t>
        </is>
      </c>
      <c r="D341" t="inlineStr">
        <is>
          <t>TAM</t>
        </is>
      </c>
      <c r="E341" t="n">
        <v>78</v>
      </c>
      <c r="F341" t="n">
        <v>120</v>
      </c>
      <c r="G341">
        <f>E341*F341</f>
        <v/>
      </c>
    </row>
    <row r="342">
      <c r="A342" t="inlineStr">
        <is>
          <t>Fresh Milk</t>
        </is>
      </c>
      <c r="B342" t="inlineStr">
        <is>
          <t>Spanish Latte</t>
        </is>
      </c>
      <c r="C342" t="inlineStr">
        <is>
          <t>2026-04</t>
        </is>
      </c>
      <c r="D342" t="inlineStr">
        <is>
          <t>PJ</t>
        </is>
      </c>
      <c r="E342" t="n">
        <v>321</v>
      </c>
      <c r="F342" t="n">
        <v>120</v>
      </c>
      <c r="G342">
        <f>E342*F342</f>
        <v/>
      </c>
    </row>
    <row r="343">
      <c r="A343" t="inlineStr">
        <is>
          <t>Fresh Milk</t>
        </is>
      </c>
      <c r="B343" t="inlineStr">
        <is>
          <t>Spanish Latte</t>
        </is>
      </c>
      <c r="C343" t="inlineStr">
        <is>
          <t>2026-04</t>
        </is>
      </c>
      <c r="D343" t="inlineStr">
        <is>
          <t>SA</t>
        </is>
      </c>
      <c r="E343" t="n">
        <v>262</v>
      </c>
      <c r="F343" t="n">
        <v>120</v>
      </c>
      <c r="G343">
        <f>E343*F343</f>
        <v/>
      </c>
    </row>
    <row r="344">
      <c r="A344" t="inlineStr">
        <is>
          <t>Fresh Milk</t>
        </is>
      </c>
      <c r="B344" t="inlineStr">
        <is>
          <t>Spanish Latte</t>
        </is>
      </c>
      <c r="C344" t="inlineStr">
        <is>
          <t>2026-04</t>
        </is>
      </c>
      <c r="D344" t="inlineStr">
        <is>
          <t>TAM</t>
        </is>
      </c>
      <c r="E344" t="n">
        <v>234</v>
      </c>
      <c r="F344" t="n">
        <v>120</v>
      </c>
      <c r="G344">
        <f>E344*F344</f>
        <v/>
      </c>
    </row>
    <row r="345">
      <c r="A345" t="inlineStr">
        <is>
          <t>Fresh Milk</t>
        </is>
      </c>
      <c r="B345" t="inlineStr">
        <is>
          <t>Spanish Latte</t>
        </is>
      </c>
      <c r="C345" t="inlineStr">
        <is>
          <t>2026-05</t>
        </is>
      </c>
      <c r="D345" t="inlineStr">
        <is>
          <t>PJ</t>
        </is>
      </c>
      <c r="E345" t="n">
        <v>276</v>
      </c>
      <c r="F345" t="n">
        <v>120</v>
      </c>
      <c r="G345">
        <f>E345*F345</f>
        <v/>
      </c>
    </row>
    <row r="346">
      <c r="A346" t="inlineStr">
        <is>
          <t>Fresh Milk</t>
        </is>
      </c>
      <c r="B346" t="inlineStr">
        <is>
          <t>Spanish Latte</t>
        </is>
      </c>
      <c r="C346" t="inlineStr">
        <is>
          <t>2026-05</t>
        </is>
      </c>
      <c r="D346" t="inlineStr">
        <is>
          <t>SA</t>
        </is>
      </c>
      <c r="E346" t="n">
        <v>230</v>
      </c>
      <c r="F346" t="n">
        <v>120</v>
      </c>
      <c r="G346">
        <f>E346*F346</f>
        <v/>
      </c>
    </row>
    <row r="347">
      <c r="A347" t="inlineStr">
        <is>
          <t>Fresh Milk</t>
        </is>
      </c>
      <c r="B347" t="inlineStr">
        <is>
          <t>Spanish Latte</t>
        </is>
      </c>
      <c r="C347" t="inlineStr">
        <is>
          <t>2026-05</t>
        </is>
      </c>
      <c r="D347" t="inlineStr">
        <is>
          <t>TAM</t>
        </is>
      </c>
      <c r="E347" t="n">
        <v>218</v>
      </c>
      <c r="F347" t="n">
        <v>120</v>
      </c>
      <c r="G347">
        <f>E347*F347</f>
        <v/>
      </c>
    </row>
    <row r="348">
      <c r="A348" t="inlineStr">
        <is>
          <t>Fresh Milk</t>
        </is>
      </c>
      <c r="B348" t="inlineStr">
        <is>
          <t>Spanish Latte</t>
        </is>
      </c>
      <c r="C348" t="inlineStr">
        <is>
          <t>2026-06</t>
        </is>
      </c>
      <c r="D348" t="inlineStr">
        <is>
          <t>PJ</t>
        </is>
      </c>
      <c r="E348" t="n">
        <v>289</v>
      </c>
      <c r="F348" t="n">
        <v>120</v>
      </c>
      <c r="G348">
        <f>E348*F348</f>
        <v/>
      </c>
    </row>
    <row r="349">
      <c r="A349" t="inlineStr">
        <is>
          <t>Fresh Milk</t>
        </is>
      </c>
      <c r="B349" t="inlineStr">
        <is>
          <t>Spanish Latte</t>
        </is>
      </c>
      <c r="C349" t="inlineStr">
        <is>
          <t>2026-06</t>
        </is>
      </c>
      <c r="D349" t="inlineStr">
        <is>
          <t>SA</t>
        </is>
      </c>
      <c r="E349" t="n">
        <v>240</v>
      </c>
      <c r="F349" t="n">
        <v>120</v>
      </c>
      <c r="G349">
        <f>E349*F349</f>
        <v/>
      </c>
    </row>
    <row r="350">
      <c r="A350" t="inlineStr">
        <is>
          <t>Fresh Milk</t>
        </is>
      </c>
      <c r="B350" t="inlineStr">
        <is>
          <t>Spanish Latte</t>
        </is>
      </c>
      <c r="C350" t="inlineStr">
        <is>
          <t>2026-06</t>
        </is>
      </c>
      <c r="D350" t="inlineStr">
        <is>
          <t>TAM</t>
        </is>
      </c>
      <c r="E350" t="n">
        <v>251</v>
      </c>
      <c r="F350" t="n">
        <v>120</v>
      </c>
      <c r="G350">
        <f>E350*F350</f>
        <v/>
      </c>
    </row>
    <row r="351">
      <c r="A351" t="inlineStr">
        <is>
          <t>Fresh Milk</t>
        </is>
      </c>
      <c r="B351" t="inlineStr">
        <is>
          <t>Spanish Latte</t>
        </is>
      </c>
      <c r="C351" t="inlineStr">
        <is>
          <t>2026-07</t>
        </is>
      </c>
      <c r="D351" t="inlineStr">
        <is>
          <t>PJ</t>
        </is>
      </c>
      <c r="E351" t="n">
        <v>256</v>
      </c>
      <c r="F351" t="n">
        <v>120</v>
      </c>
      <c r="G351">
        <f>E351*F351</f>
        <v/>
      </c>
    </row>
    <row r="352">
      <c r="A352" t="inlineStr">
        <is>
          <t>Fresh Milk</t>
        </is>
      </c>
      <c r="B352" t="inlineStr">
        <is>
          <t>Spanish Latte</t>
        </is>
      </c>
      <c r="C352" t="inlineStr">
        <is>
          <t>2026-07</t>
        </is>
      </c>
      <c r="D352" t="inlineStr">
        <is>
          <t>SA</t>
        </is>
      </c>
      <c r="E352" t="n">
        <v>195</v>
      </c>
      <c r="F352" t="n">
        <v>120</v>
      </c>
      <c r="G352">
        <f>E352*F352</f>
        <v/>
      </c>
    </row>
    <row r="353">
      <c r="A353" t="inlineStr">
        <is>
          <t>Fresh Milk</t>
        </is>
      </c>
      <c r="B353" t="inlineStr">
        <is>
          <t>Spanish Latte</t>
        </is>
      </c>
      <c r="C353" t="inlineStr">
        <is>
          <t>2026-07</t>
        </is>
      </c>
      <c r="D353" t="inlineStr">
        <is>
          <t>TAM</t>
        </is>
      </c>
      <c r="E353" t="n">
        <v>215</v>
      </c>
      <c r="F353" t="n">
        <v>120</v>
      </c>
      <c r="G353">
        <f>E353*F353</f>
        <v/>
      </c>
    </row>
    <row r="354">
      <c r="A354" t="inlineStr">
        <is>
          <t>Fresh Milk</t>
        </is>
      </c>
      <c r="B354" t="inlineStr">
        <is>
          <t>Strawberry Matcha</t>
        </is>
      </c>
      <c r="C354" t="inlineStr">
        <is>
          <t>2026-04</t>
        </is>
      </c>
      <c r="D354" t="inlineStr">
        <is>
          <t>PJ</t>
        </is>
      </c>
      <c r="E354" t="n">
        <v>194</v>
      </c>
      <c r="F354" t="n">
        <v>140</v>
      </c>
      <c r="G354">
        <f>E354*F354</f>
        <v/>
      </c>
    </row>
    <row r="355">
      <c r="A355" t="inlineStr">
        <is>
          <t>Fresh Milk</t>
        </is>
      </c>
      <c r="B355" t="inlineStr">
        <is>
          <t>Strawberry Matcha</t>
        </is>
      </c>
      <c r="C355" t="inlineStr">
        <is>
          <t>2026-04</t>
        </is>
      </c>
      <c r="D355" t="inlineStr">
        <is>
          <t>SA</t>
        </is>
      </c>
      <c r="E355" t="n">
        <v>209</v>
      </c>
      <c r="F355" t="n">
        <v>140</v>
      </c>
      <c r="G355">
        <f>E355*F355</f>
        <v/>
      </c>
    </row>
    <row r="356">
      <c r="A356" t="inlineStr">
        <is>
          <t>Fresh Milk</t>
        </is>
      </c>
      <c r="B356" t="inlineStr">
        <is>
          <t>Strawberry Matcha</t>
        </is>
      </c>
      <c r="C356" t="inlineStr">
        <is>
          <t>2026-04</t>
        </is>
      </c>
      <c r="D356" t="inlineStr">
        <is>
          <t>TAM</t>
        </is>
      </c>
      <c r="E356" t="n">
        <v>231</v>
      </c>
      <c r="F356" t="n">
        <v>140</v>
      </c>
      <c r="G356">
        <f>E356*F356</f>
        <v/>
      </c>
    </row>
    <row r="357">
      <c r="A357" t="inlineStr">
        <is>
          <t>Fresh Milk</t>
        </is>
      </c>
      <c r="B357" t="inlineStr">
        <is>
          <t>Strawberry Matcha</t>
        </is>
      </c>
      <c r="C357" t="inlineStr">
        <is>
          <t>2026-05</t>
        </is>
      </c>
      <c r="D357" t="inlineStr">
        <is>
          <t>PJ</t>
        </is>
      </c>
      <c r="E357" t="n">
        <v>182</v>
      </c>
      <c r="F357" t="n">
        <v>140</v>
      </c>
      <c r="G357">
        <f>E357*F357</f>
        <v/>
      </c>
    </row>
    <row r="358">
      <c r="A358" t="inlineStr">
        <is>
          <t>Fresh Milk</t>
        </is>
      </c>
      <c r="B358" t="inlineStr">
        <is>
          <t>Strawberry Matcha</t>
        </is>
      </c>
      <c r="C358" t="inlineStr">
        <is>
          <t>2026-05</t>
        </is>
      </c>
      <c r="D358" t="inlineStr">
        <is>
          <t>SA</t>
        </is>
      </c>
      <c r="E358" t="n">
        <v>316</v>
      </c>
      <c r="F358" t="n">
        <v>140</v>
      </c>
      <c r="G358">
        <f>E358*F358</f>
        <v/>
      </c>
    </row>
    <row r="359">
      <c r="A359" t="inlineStr">
        <is>
          <t>Fresh Milk</t>
        </is>
      </c>
      <c r="B359" t="inlineStr">
        <is>
          <t>Strawberry Matcha</t>
        </is>
      </c>
      <c r="C359" t="inlineStr">
        <is>
          <t>2026-05</t>
        </is>
      </c>
      <c r="D359" t="inlineStr">
        <is>
          <t>TAM</t>
        </is>
      </c>
      <c r="E359" t="n">
        <v>187</v>
      </c>
      <c r="F359" t="n">
        <v>140</v>
      </c>
      <c r="G359">
        <f>E359*F359</f>
        <v/>
      </c>
    </row>
    <row r="360">
      <c r="A360" t="inlineStr">
        <is>
          <t>Fresh Milk</t>
        </is>
      </c>
      <c r="B360" t="inlineStr">
        <is>
          <t>Strawberry Matcha</t>
        </is>
      </c>
      <c r="C360" t="inlineStr">
        <is>
          <t>2026-06</t>
        </is>
      </c>
      <c r="D360" t="inlineStr">
        <is>
          <t>PJ</t>
        </is>
      </c>
      <c r="E360" t="n">
        <v>145</v>
      </c>
      <c r="F360" t="n">
        <v>140</v>
      </c>
      <c r="G360">
        <f>E360*F360</f>
        <v/>
      </c>
    </row>
    <row r="361">
      <c r="A361" t="inlineStr">
        <is>
          <t>Fresh Milk</t>
        </is>
      </c>
      <c r="B361" t="inlineStr">
        <is>
          <t>Strawberry Matcha</t>
        </is>
      </c>
      <c r="C361" t="inlineStr">
        <is>
          <t>2026-06</t>
        </is>
      </c>
      <c r="D361" t="inlineStr">
        <is>
          <t>SA</t>
        </is>
      </c>
      <c r="E361" t="n">
        <v>184</v>
      </c>
      <c r="F361" t="n">
        <v>140</v>
      </c>
      <c r="G361">
        <f>E361*F361</f>
        <v/>
      </c>
    </row>
    <row r="362">
      <c r="A362" t="inlineStr">
        <is>
          <t>Fresh Milk</t>
        </is>
      </c>
      <c r="B362" t="inlineStr">
        <is>
          <t>Strawberry Matcha</t>
        </is>
      </c>
      <c r="C362" t="inlineStr">
        <is>
          <t>2026-06</t>
        </is>
      </c>
      <c r="D362" t="inlineStr">
        <is>
          <t>TAM</t>
        </is>
      </c>
      <c r="E362" t="n">
        <v>139</v>
      </c>
      <c r="F362" t="n">
        <v>140</v>
      </c>
      <c r="G362">
        <f>E362*F362</f>
        <v/>
      </c>
    </row>
    <row r="363">
      <c r="A363" t="inlineStr">
        <is>
          <t>Fresh Milk</t>
        </is>
      </c>
      <c r="B363" t="inlineStr">
        <is>
          <t>Strawberry Matcha</t>
        </is>
      </c>
      <c r="C363" t="inlineStr">
        <is>
          <t>2026-07</t>
        </is>
      </c>
      <c r="D363" t="inlineStr">
        <is>
          <t>PJ</t>
        </is>
      </c>
      <c r="E363" t="n">
        <v>119</v>
      </c>
      <c r="F363" t="n">
        <v>140</v>
      </c>
      <c r="G363">
        <f>E363*F363</f>
        <v/>
      </c>
    </row>
    <row r="364">
      <c r="A364" t="inlineStr">
        <is>
          <t>Fresh Milk</t>
        </is>
      </c>
      <c r="B364" t="inlineStr">
        <is>
          <t>Strawberry Matcha</t>
        </is>
      </c>
      <c r="C364" t="inlineStr">
        <is>
          <t>2026-07</t>
        </is>
      </c>
      <c r="D364" t="inlineStr">
        <is>
          <t>SA</t>
        </is>
      </c>
      <c r="E364" t="n">
        <v>169</v>
      </c>
      <c r="F364" t="n">
        <v>140</v>
      </c>
      <c r="G364">
        <f>E364*F364</f>
        <v/>
      </c>
    </row>
    <row r="365">
      <c r="A365" t="inlineStr">
        <is>
          <t>Fresh Milk</t>
        </is>
      </c>
      <c r="B365" t="inlineStr">
        <is>
          <t>Strawberry Matcha</t>
        </is>
      </c>
      <c r="C365" t="inlineStr">
        <is>
          <t>2026-07</t>
        </is>
      </c>
      <c r="D365" t="inlineStr">
        <is>
          <t>TAM</t>
        </is>
      </c>
      <c r="E365" t="n">
        <v>128</v>
      </c>
      <c r="F365" t="n">
        <v>140</v>
      </c>
      <c r="G365">
        <f>E365*F365</f>
        <v/>
      </c>
    </row>
    <row r="366">
      <c r="A366" t="inlineStr">
        <is>
          <t>Fresh Milk</t>
        </is>
      </c>
      <c r="B366" t="inlineStr">
        <is>
          <t>Vanilla Latte</t>
        </is>
      </c>
      <c r="C366" t="inlineStr">
        <is>
          <t>2026-04</t>
        </is>
      </c>
      <c r="D366" t="inlineStr">
        <is>
          <t>PJ</t>
        </is>
      </c>
      <c r="E366" t="n">
        <v>115</v>
      </c>
      <c r="F366" t="n">
        <v>120</v>
      </c>
      <c r="G366">
        <f>E366*F366</f>
        <v/>
      </c>
    </row>
    <row r="367">
      <c r="A367" t="inlineStr">
        <is>
          <t>Fresh Milk</t>
        </is>
      </c>
      <c r="B367" t="inlineStr">
        <is>
          <t>Vanilla Latte</t>
        </is>
      </c>
      <c r="C367" t="inlineStr">
        <is>
          <t>2026-04</t>
        </is>
      </c>
      <c r="D367" t="inlineStr">
        <is>
          <t>SA</t>
        </is>
      </c>
      <c r="E367" t="n">
        <v>139</v>
      </c>
      <c r="F367" t="n">
        <v>120</v>
      </c>
      <c r="G367">
        <f>E367*F367</f>
        <v/>
      </c>
    </row>
    <row r="368">
      <c r="A368" t="inlineStr">
        <is>
          <t>Fresh Milk</t>
        </is>
      </c>
      <c r="B368" t="inlineStr">
        <is>
          <t>Vanilla Latte</t>
        </is>
      </c>
      <c r="C368" t="inlineStr">
        <is>
          <t>2026-04</t>
        </is>
      </c>
      <c r="D368" t="inlineStr">
        <is>
          <t>TAM</t>
        </is>
      </c>
      <c r="E368" t="n">
        <v>78</v>
      </c>
      <c r="F368" t="n">
        <v>120</v>
      </c>
      <c r="G368">
        <f>E368*F368</f>
        <v/>
      </c>
    </row>
    <row r="369">
      <c r="A369" t="inlineStr">
        <is>
          <t>Fresh Milk</t>
        </is>
      </c>
      <c r="B369" t="inlineStr">
        <is>
          <t>Vanilla Latte</t>
        </is>
      </c>
      <c r="C369" t="inlineStr">
        <is>
          <t>2026-05</t>
        </is>
      </c>
      <c r="D369" t="inlineStr">
        <is>
          <t>PJ</t>
        </is>
      </c>
      <c r="E369" t="n">
        <v>102</v>
      </c>
      <c r="F369" t="n">
        <v>120</v>
      </c>
      <c r="G369">
        <f>E369*F369</f>
        <v/>
      </c>
    </row>
    <row r="370">
      <c r="A370" t="inlineStr">
        <is>
          <t>Fresh Milk</t>
        </is>
      </c>
      <c r="B370" t="inlineStr">
        <is>
          <t>Vanilla Latte</t>
        </is>
      </c>
      <c r="C370" t="inlineStr">
        <is>
          <t>2026-05</t>
        </is>
      </c>
      <c r="D370" t="inlineStr">
        <is>
          <t>SA</t>
        </is>
      </c>
      <c r="E370" t="n">
        <v>84</v>
      </c>
      <c r="F370" t="n">
        <v>120</v>
      </c>
      <c r="G370">
        <f>E370*F370</f>
        <v/>
      </c>
    </row>
    <row r="371">
      <c r="A371" t="inlineStr">
        <is>
          <t>Fresh Milk</t>
        </is>
      </c>
      <c r="B371" t="inlineStr">
        <is>
          <t>Vanilla Latte</t>
        </is>
      </c>
      <c r="C371" t="inlineStr">
        <is>
          <t>2026-05</t>
        </is>
      </c>
      <c r="D371" t="inlineStr">
        <is>
          <t>TAM</t>
        </is>
      </c>
      <c r="E371" t="n">
        <v>64</v>
      </c>
      <c r="F371" t="n">
        <v>120</v>
      </c>
      <c r="G371">
        <f>E371*F371</f>
        <v/>
      </c>
    </row>
    <row r="372">
      <c r="A372" t="inlineStr">
        <is>
          <t>Fresh Milk</t>
        </is>
      </c>
      <c r="B372" t="inlineStr">
        <is>
          <t>Vanilla Latte</t>
        </is>
      </c>
      <c r="C372" t="inlineStr">
        <is>
          <t>2026-06</t>
        </is>
      </c>
      <c r="D372" t="inlineStr">
        <is>
          <t>PJ</t>
        </is>
      </c>
      <c r="E372" t="n">
        <v>73</v>
      </c>
      <c r="F372" t="n">
        <v>120</v>
      </c>
      <c r="G372">
        <f>E372*F372</f>
        <v/>
      </c>
    </row>
    <row r="373">
      <c r="A373" t="inlineStr">
        <is>
          <t>Fresh Milk</t>
        </is>
      </c>
      <c r="B373" t="inlineStr">
        <is>
          <t>Vanilla Latte</t>
        </is>
      </c>
      <c r="C373" t="inlineStr">
        <is>
          <t>2026-06</t>
        </is>
      </c>
      <c r="D373" t="inlineStr">
        <is>
          <t>SA</t>
        </is>
      </c>
      <c r="E373" t="n">
        <v>60</v>
      </c>
      <c r="F373" t="n">
        <v>120</v>
      </c>
      <c r="G373">
        <f>E373*F373</f>
        <v/>
      </c>
    </row>
    <row r="374">
      <c r="A374" t="inlineStr">
        <is>
          <t>Fresh Milk</t>
        </is>
      </c>
      <c r="B374" t="inlineStr">
        <is>
          <t>Vanilla Latte</t>
        </is>
      </c>
      <c r="C374" t="inlineStr">
        <is>
          <t>2026-06</t>
        </is>
      </c>
      <c r="D374" t="inlineStr">
        <is>
          <t>TAM</t>
        </is>
      </c>
      <c r="E374" t="n">
        <v>68</v>
      </c>
      <c r="F374" t="n">
        <v>120</v>
      </c>
      <c r="G374">
        <f>E374*F374</f>
        <v/>
      </c>
    </row>
    <row r="375">
      <c r="A375" t="inlineStr">
        <is>
          <t>Fresh Milk</t>
        </is>
      </c>
      <c r="B375" t="inlineStr">
        <is>
          <t>Vanilla Latte</t>
        </is>
      </c>
      <c r="C375" t="inlineStr">
        <is>
          <t>2026-07</t>
        </is>
      </c>
      <c r="D375" t="inlineStr">
        <is>
          <t>PJ</t>
        </is>
      </c>
      <c r="E375" t="n">
        <v>64</v>
      </c>
      <c r="F375" t="n">
        <v>120</v>
      </c>
      <c r="G375">
        <f>E375*F375</f>
        <v/>
      </c>
    </row>
    <row r="376">
      <c r="A376" t="inlineStr">
        <is>
          <t>Fresh Milk</t>
        </is>
      </c>
      <c r="B376" t="inlineStr">
        <is>
          <t>Vanilla Latte</t>
        </is>
      </c>
      <c r="C376" t="inlineStr">
        <is>
          <t>2026-07</t>
        </is>
      </c>
      <c r="D376" t="inlineStr">
        <is>
          <t>SA</t>
        </is>
      </c>
      <c r="E376" t="n">
        <v>55</v>
      </c>
      <c r="F376" t="n">
        <v>120</v>
      </c>
      <c r="G376">
        <f>E376*F376</f>
        <v/>
      </c>
    </row>
    <row r="377">
      <c r="A377" t="inlineStr">
        <is>
          <t>Fresh Milk</t>
        </is>
      </c>
      <c r="B377" t="inlineStr">
        <is>
          <t>Vanilla Latte</t>
        </is>
      </c>
      <c r="C377" t="inlineStr">
        <is>
          <t>2026-07</t>
        </is>
      </c>
      <c r="D377" t="inlineStr">
        <is>
          <t>TAM</t>
        </is>
      </c>
      <c r="E377" t="n">
        <v>57</v>
      </c>
      <c r="F377" t="n">
        <v>120</v>
      </c>
      <c r="G377">
        <f>E377*F377</f>
        <v/>
      </c>
    </row>
    <row r="378">
      <c r="A378" t="inlineStr">
        <is>
          <t>Fresh Milk</t>
        </is>
      </c>
      <c r="B378" t="inlineStr">
        <is>
          <t>White Mocha</t>
        </is>
      </c>
      <c r="C378" t="inlineStr">
        <is>
          <t>2026-04</t>
        </is>
      </c>
      <c r="D378" t="inlineStr">
        <is>
          <t>PJ</t>
        </is>
      </c>
      <c r="E378" t="n">
        <v>64</v>
      </c>
      <c r="F378" t="n">
        <v>120</v>
      </c>
      <c r="G378">
        <f>E378*F378</f>
        <v/>
      </c>
    </row>
    <row r="379">
      <c r="A379" t="inlineStr">
        <is>
          <t>Fresh Milk</t>
        </is>
      </c>
      <c r="B379" t="inlineStr">
        <is>
          <t>White Mocha</t>
        </is>
      </c>
      <c r="C379" t="inlineStr">
        <is>
          <t>2026-04</t>
        </is>
      </c>
      <c r="D379" t="inlineStr">
        <is>
          <t>SA</t>
        </is>
      </c>
      <c r="E379" t="n">
        <v>39</v>
      </c>
      <c r="F379" t="n">
        <v>120</v>
      </c>
      <c r="G379">
        <f>E379*F379</f>
        <v/>
      </c>
    </row>
    <row r="380">
      <c r="A380" t="inlineStr">
        <is>
          <t>Fresh Milk</t>
        </is>
      </c>
      <c r="B380" t="inlineStr">
        <is>
          <t>White Mocha</t>
        </is>
      </c>
      <c r="C380" t="inlineStr">
        <is>
          <t>2026-04</t>
        </is>
      </c>
      <c r="D380" t="inlineStr">
        <is>
          <t>TAM</t>
        </is>
      </c>
      <c r="E380" t="n">
        <v>44</v>
      </c>
      <c r="F380" t="n">
        <v>120</v>
      </c>
      <c r="G380">
        <f>E380*F380</f>
        <v/>
      </c>
    </row>
    <row r="381">
      <c r="A381" t="inlineStr">
        <is>
          <t>Fresh Milk</t>
        </is>
      </c>
      <c r="B381" t="inlineStr">
        <is>
          <t>White Mocha</t>
        </is>
      </c>
      <c r="C381" t="inlineStr">
        <is>
          <t>2026-05</t>
        </is>
      </c>
      <c r="D381" t="inlineStr">
        <is>
          <t>PJ</t>
        </is>
      </c>
      <c r="E381" t="n">
        <v>48</v>
      </c>
      <c r="F381" t="n">
        <v>120</v>
      </c>
      <c r="G381">
        <f>E381*F381</f>
        <v/>
      </c>
    </row>
    <row r="382">
      <c r="A382" t="inlineStr">
        <is>
          <t>Fresh Milk</t>
        </is>
      </c>
      <c r="B382" t="inlineStr">
        <is>
          <t>White Mocha</t>
        </is>
      </c>
      <c r="C382" t="inlineStr">
        <is>
          <t>2026-05</t>
        </is>
      </c>
      <c r="D382" t="inlineStr">
        <is>
          <t>SA</t>
        </is>
      </c>
      <c r="E382" t="n">
        <v>36</v>
      </c>
      <c r="F382" t="n">
        <v>120</v>
      </c>
      <c r="G382">
        <f>E382*F382</f>
        <v/>
      </c>
    </row>
    <row r="383">
      <c r="A383" t="inlineStr">
        <is>
          <t>Fresh Milk</t>
        </is>
      </c>
      <c r="B383" t="inlineStr">
        <is>
          <t>White Mocha</t>
        </is>
      </c>
      <c r="C383" t="inlineStr">
        <is>
          <t>2026-05</t>
        </is>
      </c>
      <c r="D383" t="inlineStr">
        <is>
          <t>TAM</t>
        </is>
      </c>
      <c r="E383" t="n">
        <v>33</v>
      </c>
      <c r="F383" t="n">
        <v>120</v>
      </c>
      <c r="G383">
        <f>E383*F383</f>
        <v/>
      </c>
    </row>
    <row r="384">
      <c r="A384" t="inlineStr">
        <is>
          <t>Fresh Milk</t>
        </is>
      </c>
      <c r="B384" t="inlineStr">
        <is>
          <t>White Mocha</t>
        </is>
      </c>
      <c r="C384" t="inlineStr">
        <is>
          <t>2026-06</t>
        </is>
      </c>
      <c r="D384" t="inlineStr">
        <is>
          <t>PJ</t>
        </is>
      </c>
      <c r="E384" t="n">
        <v>33</v>
      </c>
      <c r="F384" t="n">
        <v>120</v>
      </c>
      <c r="G384">
        <f>E384*F384</f>
        <v/>
      </c>
    </row>
    <row r="385">
      <c r="A385" t="inlineStr">
        <is>
          <t>Fresh Milk</t>
        </is>
      </c>
      <c r="B385" t="inlineStr">
        <is>
          <t>White Mocha</t>
        </is>
      </c>
      <c r="C385" t="inlineStr">
        <is>
          <t>2026-06</t>
        </is>
      </c>
      <c r="D385" t="inlineStr">
        <is>
          <t>SA</t>
        </is>
      </c>
      <c r="E385" t="n">
        <v>23</v>
      </c>
      <c r="F385" t="n">
        <v>120</v>
      </c>
      <c r="G385">
        <f>E385*F385</f>
        <v/>
      </c>
    </row>
    <row r="386">
      <c r="A386" t="inlineStr">
        <is>
          <t>Fresh Milk</t>
        </is>
      </c>
      <c r="B386" t="inlineStr">
        <is>
          <t>White Mocha</t>
        </is>
      </c>
      <c r="C386" t="inlineStr">
        <is>
          <t>2026-06</t>
        </is>
      </c>
      <c r="D386" t="inlineStr">
        <is>
          <t>TAM</t>
        </is>
      </c>
      <c r="E386" t="n">
        <v>37</v>
      </c>
      <c r="F386" t="n">
        <v>120</v>
      </c>
      <c r="G386">
        <f>E386*F386</f>
        <v/>
      </c>
    </row>
    <row r="387">
      <c r="A387" t="inlineStr">
        <is>
          <t>Fresh Milk</t>
        </is>
      </c>
      <c r="B387" t="inlineStr">
        <is>
          <t>White Mocha</t>
        </is>
      </c>
      <c r="C387" t="inlineStr">
        <is>
          <t>2026-07</t>
        </is>
      </c>
      <c r="D387" t="inlineStr">
        <is>
          <t>PJ</t>
        </is>
      </c>
      <c r="E387" t="n">
        <v>32</v>
      </c>
      <c r="F387" t="n">
        <v>120</v>
      </c>
      <c r="G387">
        <f>E387*F387</f>
        <v/>
      </c>
    </row>
    <row r="388">
      <c r="A388" t="inlineStr">
        <is>
          <t>Fresh Milk</t>
        </is>
      </c>
      <c r="B388" t="inlineStr">
        <is>
          <t>White Mocha</t>
        </is>
      </c>
      <c r="C388" t="inlineStr">
        <is>
          <t>2026-07</t>
        </is>
      </c>
      <c r="D388" t="inlineStr">
        <is>
          <t>SA</t>
        </is>
      </c>
      <c r="E388" t="n">
        <v>15</v>
      </c>
      <c r="F388" t="n">
        <v>120</v>
      </c>
      <c r="G388">
        <f>E388*F388</f>
        <v/>
      </c>
    </row>
    <row r="389">
      <c r="A389" t="inlineStr">
        <is>
          <t>Fresh Milk</t>
        </is>
      </c>
      <c r="B389" t="inlineStr">
        <is>
          <t>White Mocha</t>
        </is>
      </c>
      <c r="C389" t="inlineStr">
        <is>
          <t>2026-07</t>
        </is>
      </c>
      <c r="D389" t="inlineStr">
        <is>
          <t>TAM</t>
        </is>
      </c>
      <c r="E389" t="n">
        <v>18</v>
      </c>
      <c r="F389" t="n">
        <v>120</v>
      </c>
      <c r="G389">
        <f>E389*F389</f>
        <v/>
      </c>
    </row>
    <row r="390">
      <c r="A390" t="inlineStr">
        <is>
          <t>Home Blend (Collective)</t>
        </is>
      </c>
      <c r="B390" t="inlineStr">
        <is>
          <t>Affogato</t>
        </is>
      </c>
      <c r="C390" t="inlineStr">
        <is>
          <t>2026-04</t>
        </is>
      </c>
      <c r="D390" t="inlineStr">
        <is>
          <t>PJ</t>
        </is>
      </c>
      <c r="E390" t="n">
        <v>4</v>
      </c>
      <c r="F390" t="n">
        <v>18</v>
      </c>
      <c r="G390">
        <f>E390*F390</f>
        <v/>
      </c>
    </row>
    <row r="391">
      <c r="A391" t="inlineStr">
        <is>
          <t>Home Blend (Collective)</t>
        </is>
      </c>
      <c r="B391" t="inlineStr">
        <is>
          <t>Affogato</t>
        </is>
      </c>
      <c r="C391" t="inlineStr">
        <is>
          <t>2026-04</t>
        </is>
      </c>
      <c r="D391" t="inlineStr">
        <is>
          <t>SA</t>
        </is>
      </c>
      <c r="E391" t="n">
        <v>5</v>
      </c>
      <c r="F391" t="n">
        <v>18</v>
      </c>
      <c r="G391">
        <f>E391*F391</f>
        <v/>
      </c>
    </row>
    <row r="392">
      <c r="A392" t="inlineStr">
        <is>
          <t>Home Blend (Collective)</t>
        </is>
      </c>
      <c r="B392" t="inlineStr">
        <is>
          <t>Affogato</t>
        </is>
      </c>
      <c r="C392" t="inlineStr">
        <is>
          <t>2026-05</t>
        </is>
      </c>
      <c r="D392" t="inlineStr">
        <is>
          <t>SA</t>
        </is>
      </c>
      <c r="E392" t="n">
        <v>4</v>
      </c>
      <c r="F392" t="n">
        <v>18</v>
      </c>
      <c r="G392">
        <f>E392*F392</f>
        <v/>
      </c>
    </row>
    <row r="393">
      <c r="A393" t="inlineStr">
        <is>
          <t>Home Blend (Collective)</t>
        </is>
      </c>
      <c r="B393" t="inlineStr">
        <is>
          <t>Affogato</t>
        </is>
      </c>
      <c r="C393" t="inlineStr">
        <is>
          <t>2026-05</t>
        </is>
      </c>
      <c r="D393" t="inlineStr">
        <is>
          <t>TAM</t>
        </is>
      </c>
      <c r="E393" t="n">
        <v>2</v>
      </c>
      <c r="F393" t="n">
        <v>18</v>
      </c>
      <c r="G393">
        <f>E393*F393</f>
        <v/>
      </c>
    </row>
    <row r="394">
      <c r="A394" t="inlineStr">
        <is>
          <t>Home Blend (Collective)</t>
        </is>
      </c>
      <c r="B394" t="inlineStr">
        <is>
          <t>Affogato</t>
        </is>
      </c>
      <c r="C394" t="inlineStr">
        <is>
          <t>2026-06</t>
        </is>
      </c>
      <c r="D394" t="inlineStr">
        <is>
          <t>TAM</t>
        </is>
      </c>
      <c r="E394" t="n">
        <v>8</v>
      </c>
      <c r="F394" t="n">
        <v>18</v>
      </c>
      <c r="G394">
        <f>E394*F394</f>
        <v/>
      </c>
    </row>
    <row r="395">
      <c r="A395" t="inlineStr">
        <is>
          <t>Home Blend (Collective)</t>
        </is>
      </c>
      <c r="B395" t="inlineStr">
        <is>
          <t>Black</t>
        </is>
      </c>
      <c r="C395" t="inlineStr">
        <is>
          <t>2026-04</t>
        </is>
      </c>
      <c r="D395" t="inlineStr">
        <is>
          <t>PJ</t>
        </is>
      </c>
      <c r="E395" t="n">
        <v>697</v>
      </c>
      <c r="F395" t="n">
        <v>18</v>
      </c>
      <c r="G395">
        <f>E395*F395</f>
        <v/>
      </c>
    </row>
    <row r="396">
      <c r="A396" t="inlineStr">
        <is>
          <t>Home Blend (Collective)</t>
        </is>
      </c>
      <c r="B396" t="inlineStr">
        <is>
          <t>Black</t>
        </is>
      </c>
      <c r="C396" t="inlineStr">
        <is>
          <t>2026-04</t>
        </is>
      </c>
      <c r="D396" t="inlineStr">
        <is>
          <t>SA</t>
        </is>
      </c>
      <c r="E396" t="n">
        <v>348</v>
      </c>
      <c r="F396" t="n">
        <v>18</v>
      </c>
      <c r="G396">
        <f>E396*F396</f>
        <v/>
      </c>
    </row>
    <row r="397">
      <c r="A397" t="inlineStr">
        <is>
          <t>Home Blend (Collective)</t>
        </is>
      </c>
      <c r="B397" t="inlineStr">
        <is>
          <t>Black</t>
        </is>
      </c>
      <c r="C397" t="inlineStr">
        <is>
          <t>2026-04</t>
        </is>
      </c>
      <c r="D397" t="inlineStr">
        <is>
          <t>TAM</t>
        </is>
      </c>
      <c r="E397" t="n">
        <v>368</v>
      </c>
      <c r="F397" t="n">
        <v>18</v>
      </c>
      <c r="G397">
        <f>E397*F397</f>
        <v/>
      </c>
    </row>
    <row r="398">
      <c r="A398" t="inlineStr">
        <is>
          <t>Home Blend (Collective)</t>
        </is>
      </c>
      <c r="B398" t="inlineStr">
        <is>
          <t>Black</t>
        </is>
      </c>
      <c r="C398" t="inlineStr">
        <is>
          <t>2026-05</t>
        </is>
      </c>
      <c r="D398" t="inlineStr">
        <is>
          <t>PJ</t>
        </is>
      </c>
      <c r="E398" t="n">
        <v>597</v>
      </c>
      <c r="F398" t="n">
        <v>18</v>
      </c>
      <c r="G398">
        <f>E398*F398</f>
        <v/>
      </c>
    </row>
    <row r="399">
      <c r="A399" t="inlineStr">
        <is>
          <t>Home Blend (Collective)</t>
        </is>
      </c>
      <c r="B399" t="inlineStr">
        <is>
          <t>Black</t>
        </is>
      </c>
      <c r="C399" t="inlineStr">
        <is>
          <t>2026-05</t>
        </is>
      </c>
      <c r="D399" t="inlineStr">
        <is>
          <t>SA</t>
        </is>
      </c>
      <c r="E399" t="n">
        <v>397</v>
      </c>
      <c r="F399" t="n">
        <v>18</v>
      </c>
      <c r="G399">
        <f>E399*F399</f>
        <v/>
      </c>
    </row>
    <row r="400">
      <c r="A400" t="inlineStr">
        <is>
          <t>Home Blend (Collective)</t>
        </is>
      </c>
      <c r="B400" t="inlineStr">
        <is>
          <t>Black</t>
        </is>
      </c>
      <c r="C400" t="inlineStr">
        <is>
          <t>2026-05</t>
        </is>
      </c>
      <c r="D400" t="inlineStr">
        <is>
          <t>TAM</t>
        </is>
      </c>
      <c r="E400" t="n">
        <v>342</v>
      </c>
      <c r="F400" t="n">
        <v>18</v>
      </c>
      <c r="G400">
        <f>E400*F400</f>
        <v/>
      </c>
    </row>
    <row r="401">
      <c r="A401" t="inlineStr">
        <is>
          <t>Home Blend (Collective)</t>
        </is>
      </c>
      <c r="B401" t="inlineStr">
        <is>
          <t>Black</t>
        </is>
      </c>
      <c r="C401" t="inlineStr">
        <is>
          <t>2026-06</t>
        </is>
      </c>
      <c r="D401" t="inlineStr">
        <is>
          <t>PJ</t>
        </is>
      </c>
      <c r="E401" t="n">
        <v>409</v>
      </c>
      <c r="F401" t="n">
        <v>18</v>
      </c>
      <c r="G401">
        <f>E401*F401</f>
        <v/>
      </c>
    </row>
    <row r="402">
      <c r="A402" t="inlineStr">
        <is>
          <t>Home Blend (Collective)</t>
        </is>
      </c>
      <c r="B402" t="inlineStr">
        <is>
          <t>Black</t>
        </is>
      </c>
      <c r="C402" t="inlineStr">
        <is>
          <t>2026-06</t>
        </is>
      </c>
      <c r="D402" t="inlineStr">
        <is>
          <t>SA</t>
        </is>
      </c>
      <c r="E402" t="n">
        <v>348</v>
      </c>
      <c r="F402" t="n">
        <v>18</v>
      </c>
      <c r="G402">
        <f>E402*F402</f>
        <v/>
      </c>
    </row>
    <row r="403">
      <c r="A403" t="inlineStr">
        <is>
          <t>Home Blend (Collective)</t>
        </is>
      </c>
      <c r="B403" t="inlineStr">
        <is>
          <t>Black</t>
        </is>
      </c>
      <c r="C403" t="inlineStr">
        <is>
          <t>2026-06</t>
        </is>
      </c>
      <c r="D403" t="inlineStr">
        <is>
          <t>TAM</t>
        </is>
      </c>
      <c r="E403" t="n">
        <v>320</v>
      </c>
      <c r="F403" t="n">
        <v>18</v>
      </c>
      <c r="G403">
        <f>E403*F403</f>
        <v/>
      </c>
    </row>
    <row r="404">
      <c r="A404" t="inlineStr">
        <is>
          <t>Home Blend (Collective)</t>
        </is>
      </c>
      <c r="B404" t="inlineStr">
        <is>
          <t>Black</t>
        </is>
      </c>
      <c r="C404" t="inlineStr">
        <is>
          <t>2026-07</t>
        </is>
      </c>
      <c r="D404" t="inlineStr">
        <is>
          <t>PJ</t>
        </is>
      </c>
      <c r="E404" t="n">
        <v>333</v>
      </c>
      <c r="F404" t="n">
        <v>18</v>
      </c>
      <c r="G404">
        <f>E404*F404</f>
        <v/>
      </c>
    </row>
    <row r="405">
      <c r="A405" t="inlineStr">
        <is>
          <t>Home Blend (Collective)</t>
        </is>
      </c>
      <c r="B405" t="inlineStr">
        <is>
          <t>Black</t>
        </is>
      </c>
      <c r="C405" t="inlineStr">
        <is>
          <t>2026-07</t>
        </is>
      </c>
      <c r="D405" t="inlineStr">
        <is>
          <t>SA</t>
        </is>
      </c>
      <c r="E405" t="n">
        <v>274</v>
      </c>
      <c r="F405" t="n">
        <v>18</v>
      </c>
      <c r="G405">
        <f>E405*F405</f>
        <v/>
      </c>
    </row>
    <row r="406">
      <c r="A406" t="inlineStr">
        <is>
          <t>Home Blend (Collective)</t>
        </is>
      </c>
      <c r="B406" t="inlineStr">
        <is>
          <t>Black</t>
        </is>
      </c>
      <c r="C406" t="inlineStr">
        <is>
          <t>2026-07</t>
        </is>
      </c>
      <c r="D406" t="inlineStr">
        <is>
          <t>TAM</t>
        </is>
      </c>
      <c r="E406" t="n">
        <v>253</v>
      </c>
      <c r="F406" t="n">
        <v>18</v>
      </c>
      <c r="G406">
        <f>E406*F406</f>
        <v/>
      </c>
    </row>
    <row r="407">
      <c r="A407" t="inlineStr">
        <is>
          <t>Home Blend (Collective)</t>
        </is>
      </c>
      <c r="B407" t="inlineStr">
        <is>
          <t>Buttercream Latte</t>
        </is>
      </c>
      <c r="C407" t="inlineStr">
        <is>
          <t>2026-04</t>
        </is>
      </c>
      <c r="D407" t="inlineStr">
        <is>
          <t>PJ</t>
        </is>
      </c>
      <c r="E407" t="n">
        <v>642</v>
      </c>
      <c r="F407" t="n">
        <v>18</v>
      </c>
      <c r="G407">
        <f>E407*F407</f>
        <v/>
      </c>
    </row>
    <row r="408">
      <c r="A408" t="inlineStr">
        <is>
          <t>Home Blend (Collective)</t>
        </is>
      </c>
      <c r="B408" t="inlineStr">
        <is>
          <t>Buttercream Latte</t>
        </is>
      </c>
      <c r="C408" t="inlineStr">
        <is>
          <t>2026-04</t>
        </is>
      </c>
      <c r="D408" t="inlineStr">
        <is>
          <t>SA</t>
        </is>
      </c>
      <c r="E408" t="n">
        <v>446</v>
      </c>
      <c r="F408" t="n">
        <v>18</v>
      </c>
      <c r="G408">
        <f>E408*F408</f>
        <v/>
      </c>
    </row>
    <row r="409">
      <c r="A409" t="inlineStr">
        <is>
          <t>Home Blend (Collective)</t>
        </is>
      </c>
      <c r="B409" t="inlineStr">
        <is>
          <t>Buttercream Latte</t>
        </is>
      </c>
      <c r="C409" t="inlineStr">
        <is>
          <t>2026-04</t>
        </is>
      </c>
      <c r="D409" t="inlineStr">
        <is>
          <t>TAM</t>
        </is>
      </c>
      <c r="E409" t="n">
        <v>516</v>
      </c>
      <c r="F409" t="n">
        <v>18</v>
      </c>
      <c r="G409">
        <f>E409*F409</f>
        <v/>
      </c>
    </row>
    <row r="410">
      <c r="A410" t="inlineStr">
        <is>
          <t>Home Blend (Collective)</t>
        </is>
      </c>
      <c r="B410" t="inlineStr">
        <is>
          <t>Buttercream Latte</t>
        </is>
      </c>
      <c r="C410" t="inlineStr">
        <is>
          <t>2026-05</t>
        </is>
      </c>
      <c r="D410" t="inlineStr">
        <is>
          <t>PJ</t>
        </is>
      </c>
      <c r="E410" t="n">
        <v>536</v>
      </c>
      <c r="F410" t="n">
        <v>18</v>
      </c>
      <c r="G410">
        <f>E410*F410</f>
        <v/>
      </c>
    </row>
    <row r="411">
      <c r="A411" t="inlineStr">
        <is>
          <t>Home Blend (Collective)</t>
        </is>
      </c>
      <c r="B411" t="inlineStr">
        <is>
          <t>Buttercream Latte</t>
        </is>
      </c>
      <c r="C411" t="inlineStr">
        <is>
          <t>2026-05</t>
        </is>
      </c>
      <c r="D411" t="inlineStr">
        <is>
          <t>SA</t>
        </is>
      </c>
      <c r="E411" t="n">
        <v>531</v>
      </c>
      <c r="F411" t="n">
        <v>18</v>
      </c>
      <c r="G411">
        <f>E411*F411</f>
        <v/>
      </c>
    </row>
    <row r="412">
      <c r="A412" t="inlineStr">
        <is>
          <t>Home Blend (Collective)</t>
        </is>
      </c>
      <c r="B412" t="inlineStr">
        <is>
          <t>Buttercream Latte</t>
        </is>
      </c>
      <c r="C412" t="inlineStr">
        <is>
          <t>2026-05</t>
        </is>
      </c>
      <c r="D412" t="inlineStr">
        <is>
          <t>TAM</t>
        </is>
      </c>
      <c r="E412" t="n">
        <v>475</v>
      </c>
      <c r="F412" t="n">
        <v>18</v>
      </c>
      <c r="G412">
        <f>E412*F412</f>
        <v/>
      </c>
    </row>
    <row r="413">
      <c r="A413" t="inlineStr">
        <is>
          <t>Home Blend (Collective)</t>
        </is>
      </c>
      <c r="B413" t="inlineStr">
        <is>
          <t>Buttercream Latte</t>
        </is>
      </c>
      <c r="C413" t="inlineStr">
        <is>
          <t>2026-06</t>
        </is>
      </c>
      <c r="D413" t="inlineStr">
        <is>
          <t>PJ</t>
        </is>
      </c>
      <c r="E413" t="n">
        <v>418</v>
      </c>
      <c r="F413" t="n">
        <v>18</v>
      </c>
      <c r="G413">
        <f>E413*F413</f>
        <v/>
      </c>
    </row>
    <row r="414">
      <c r="A414" t="inlineStr">
        <is>
          <t>Home Blend (Collective)</t>
        </is>
      </c>
      <c r="B414" t="inlineStr">
        <is>
          <t>Buttercream Latte</t>
        </is>
      </c>
      <c r="C414" t="inlineStr">
        <is>
          <t>2026-06</t>
        </is>
      </c>
      <c r="D414" t="inlineStr">
        <is>
          <t>SA</t>
        </is>
      </c>
      <c r="E414" t="n">
        <v>447</v>
      </c>
      <c r="F414" t="n">
        <v>18</v>
      </c>
      <c r="G414">
        <f>E414*F414</f>
        <v/>
      </c>
    </row>
    <row r="415">
      <c r="A415" t="inlineStr">
        <is>
          <t>Home Blend (Collective)</t>
        </is>
      </c>
      <c r="B415" t="inlineStr">
        <is>
          <t>Buttercream Latte</t>
        </is>
      </c>
      <c r="C415" t="inlineStr">
        <is>
          <t>2026-06</t>
        </is>
      </c>
      <c r="D415" t="inlineStr">
        <is>
          <t>TAM</t>
        </is>
      </c>
      <c r="E415" t="n">
        <v>418</v>
      </c>
      <c r="F415" t="n">
        <v>18</v>
      </c>
      <c r="G415">
        <f>E415*F415</f>
        <v/>
      </c>
    </row>
    <row r="416">
      <c r="A416" t="inlineStr">
        <is>
          <t>Home Blend (Collective)</t>
        </is>
      </c>
      <c r="B416" t="inlineStr">
        <is>
          <t>Buttercream Latte</t>
        </is>
      </c>
      <c r="C416" t="inlineStr">
        <is>
          <t>2026-07</t>
        </is>
      </c>
      <c r="D416" t="inlineStr">
        <is>
          <t>PJ</t>
        </is>
      </c>
      <c r="E416" t="n">
        <v>325</v>
      </c>
      <c r="F416" t="n">
        <v>18</v>
      </c>
      <c r="G416">
        <f>E416*F416</f>
        <v/>
      </c>
    </row>
    <row r="417">
      <c r="A417" t="inlineStr">
        <is>
          <t>Home Blend (Collective)</t>
        </is>
      </c>
      <c r="B417" t="inlineStr">
        <is>
          <t>Buttercream Latte</t>
        </is>
      </c>
      <c r="C417" t="inlineStr">
        <is>
          <t>2026-07</t>
        </is>
      </c>
      <c r="D417" t="inlineStr">
        <is>
          <t>SA</t>
        </is>
      </c>
      <c r="E417" t="n">
        <v>359</v>
      </c>
      <c r="F417" t="n">
        <v>18</v>
      </c>
      <c r="G417">
        <f>E417*F417</f>
        <v/>
      </c>
    </row>
    <row r="418">
      <c r="A418" t="inlineStr">
        <is>
          <t>Home Blend (Collective)</t>
        </is>
      </c>
      <c r="B418" t="inlineStr">
        <is>
          <t>Buttercream Latte</t>
        </is>
      </c>
      <c r="C418" t="inlineStr">
        <is>
          <t>2026-07</t>
        </is>
      </c>
      <c r="D418" t="inlineStr">
        <is>
          <t>TAM</t>
        </is>
      </c>
      <c r="E418" t="n">
        <v>363</v>
      </c>
      <c r="F418" t="n">
        <v>18</v>
      </c>
      <c r="G418">
        <f>E418*F418</f>
        <v/>
      </c>
    </row>
    <row r="419">
      <c r="A419" t="inlineStr">
        <is>
          <t>Home Blend (Collective)</t>
        </is>
      </c>
      <c r="B419" t="inlineStr">
        <is>
          <t>Cappucino</t>
        </is>
      </c>
      <c r="C419" t="inlineStr">
        <is>
          <t>2026-04</t>
        </is>
      </c>
      <c r="D419" t="inlineStr">
        <is>
          <t>PJ</t>
        </is>
      </c>
      <c r="E419" t="n">
        <v>231</v>
      </c>
      <c r="F419" t="n">
        <v>18</v>
      </c>
      <c r="G419">
        <f>E419*F419</f>
        <v/>
      </c>
    </row>
    <row r="420">
      <c r="A420" t="inlineStr">
        <is>
          <t>Home Blend (Collective)</t>
        </is>
      </c>
      <c r="B420" t="inlineStr">
        <is>
          <t>Cappucino</t>
        </is>
      </c>
      <c r="C420" t="inlineStr">
        <is>
          <t>2026-04</t>
        </is>
      </c>
      <c r="D420" t="inlineStr">
        <is>
          <t>SA</t>
        </is>
      </c>
      <c r="E420" t="n">
        <v>116</v>
      </c>
      <c r="F420" t="n">
        <v>18</v>
      </c>
      <c r="G420">
        <f>E420*F420</f>
        <v/>
      </c>
    </row>
    <row r="421">
      <c r="A421" t="inlineStr">
        <is>
          <t>Home Blend (Collective)</t>
        </is>
      </c>
      <c r="B421" t="inlineStr">
        <is>
          <t>Cappucino</t>
        </is>
      </c>
      <c r="C421" t="inlineStr">
        <is>
          <t>2026-04</t>
        </is>
      </c>
      <c r="D421" t="inlineStr">
        <is>
          <t>TAM</t>
        </is>
      </c>
      <c r="E421" t="n">
        <v>125</v>
      </c>
      <c r="F421" t="n">
        <v>18</v>
      </c>
      <c r="G421">
        <f>E421*F421</f>
        <v/>
      </c>
    </row>
    <row r="422">
      <c r="A422" t="inlineStr">
        <is>
          <t>Home Blend (Collective)</t>
        </is>
      </c>
      <c r="B422" t="inlineStr">
        <is>
          <t>Cappucino</t>
        </is>
      </c>
      <c r="C422" t="inlineStr">
        <is>
          <t>2026-05</t>
        </is>
      </c>
      <c r="D422" t="inlineStr">
        <is>
          <t>PJ</t>
        </is>
      </c>
      <c r="E422" t="n">
        <v>257</v>
      </c>
      <c r="F422" t="n">
        <v>18</v>
      </c>
      <c r="G422">
        <f>E422*F422</f>
        <v/>
      </c>
    </row>
    <row r="423">
      <c r="A423" t="inlineStr">
        <is>
          <t>Home Blend (Collective)</t>
        </is>
      </c>
      <c r="B423" t="inlineStr">
        <is>
          <t>Cappucino</t>
        </is>
      </c>
      <c r="C423" t="inlineStr">
        <is>
          <t>2026-05</t>
        </is>
      </c>
      <c r="D423" t="inlineStr">
        <is>
          <t>SA</t>
        </is>
      </c>
      <c r="E423" t="n">
        <v>121</v>
      </c>
      <c r="F423" t="n">
        <v>18</v>
      </c>
      <c r="G423">
        <f>E423*F423</f>
        <v/>
      </c>
    </row>
    <row r="424">
      <c r="A424" t="inlineStr">
        <is>
          <t>Home Blend (Collective)</t>
        </is>
      </c>
      <c r="B424" t="inlineStr">
        <is>
          <t>Cappucino</t>
        </is>
      </c>
      <c r="C424" t="inlineStr">
        <is>
          <t>2026-05</t>
        </is>
      </c>
      <c r="D424" t="inlineStr">
        <is>
          <t>TAM</t>
        </is>
      </c>
      <c r="E424" t="n">
        <v>149</v>
      </c>
      <c r="F424" t="n">
        <v>18</v>
      </c>
      <c r="G424">
        <f>E424*F424</f>
        <v/>
      </c>
    </row>
    <row r="425">
      <c r="A425" t="inlineStr">
        <is>
          <t>Home Blend (Collective)</t>
        </is>
      </c>
      <c r="B425" t="inlineStr">
        <is>
          <t>Cappucino</t>
        </is>
      </c>
      <c r="C425" t="inlineStr">
        <is>
          <t>2026-06</t>
        </is>
      </c>
      <c r="D425" t="inlineStr">
        <is>
          <t>PJ</t>
        </is>
      </c>
      <c r="E425" t="n">
        <v>209</v>
      </c>
      <c r="F425" t="n">
        <v>18</v>
      </c>
      <c r="G425">
        <f>E425*F425</f>
        <v/>
      </c>
    </row>
    <row r="426">
      <c r="A426" t="inlineStr">
        <is>
          <t>Home Blend (Collective)</t>
        </is>
      </c>
      <c r="B426" t="inlineStr">
        <is>
          <t>Cappucino</t>
        </is>
      </c>
      <c r="C426" t="inlineStr">
        <is>
          <t>2026-06</t>
        </is>
      </c>
      <c r="D426" t="inlineStr">
        <is>
          <t>SA</t>
        </is>
      </c>
      <c r="E426" t="n">
        <v>96</v>
      </c>
      <c r="F426" t="n">
        <v>18</v>
      </c>
      <c r="G426">
        <f>E426*F426</f>
        <v/>
      </c>
    </row>
    <row r="427">
      <c r="A427" t="inlineStr">
        <is>
          <t>Home Blend (Collective)</t>
        </is>
      </c>
      <c r="B427" t="inlineStr">
        <is>
          <t>Cappucino</t>
        </is>
      </c>
      <c r="C427" t="inlineStr">
        <is>
          <t>2026-06</t>
        </is>
      </c>
      <c r="D427" t="inlineStr">
        <is>
          <t>TAM</t>
        </is>
      </c>
      <c r="E427" t="n">
        <v>143</v>
      </c>
      <c r="F427" t="n">
        <v>18</v>
      </c>
      <c r="G427">
        <f>E427*F427</f>
        <v/>
      </c>
    </row>
    <row r="428">
      <c r="A428" t="inlineStr">
        <is>
          <t>Home Blend (Collective)</t>
        </is>
      </c>
      <c r="B428" t="inlineStr">
        <is>
          <t>Cappucino</t>
        </is>
      </c>
      <c r="C428" t="inlineStr">
        <is>
          <t>2026-07</t>
        </is>
      </c>
      <c r="D428" t="inlineStr">
        <is>
          <t>PJ</t>
        </is>
      </c>
      <c r="E428" t="n">
        <v>182</v>
      </c>
      <c r="F428" t="n">
        <v>18</v>
      </c>
      <c r="G428">
        <f>E428*F428</f>
        <v/>
      </c>
    </row>
    <row r="429">
      <c r="A429" t="inlineStr">
        <is>
          <t>Home Blend (Collective)</t>
        </is>
      </c>
      <c r="B429" t="inlineStr">
        <is>
          <t>Cappucino</t>
        </is>
      </c>
      <c r="C429" t="inlineStr">
        <is>
          <t>2026-07</t>
        </is>
      </c>
      <c r="D429" t="inlineStr">
        <is>
          <t>SA</t>
        </is>
      </c>
      <c r="E429" t="n">
        <v>99</v>
      </c>
      <c r="F429" t="n">
        <v>18</v>
      </c>
      <c r="G429">
        <f>E429*F429</f>
        <v/>
      </c>
    </row>
    <row r="430">
      <c r="A430" t="inlineStr">
        <is>
          <t>Home Blend (Collective)</t>
        </is>
      </c>
      <c r="B430" t="inlineStr">
        <is>
          <t>Cappucino</t>
        </is>
      </c>
      <c r="C430" t="inlineStr">
        <is>
          <t>2026-07</t>
        </is>
      </c>
      <c r="D430" t="inlineStr">
        <is>
          <t>TAM</t>
        </is>
      </c>
      <c r="E430" t="n">
        <v>141</v>
      </c>
      <c r="F430" t="n">
        <v>18</v>
      </c>
      <c r="G430">
        <f>E430*F430</f>
        <v/>
      </c>
    </row>
    <row r="431">
      <c r="A431" t="inlineStr">
        <is>
          <t>Home Blend (Collective)</t>
        </is>
      </c>
      <c r="B431" t="inlineStr">
        <is>
          <t>Caramel Latte</t>
        </is>
      </c>
      <c r="C431" t="inlineStr">
        <is>
          <t>2026-04</t>
        </is>
      </c>
      <c r="D431" t="inlineStr">
        <is>
          <t>PJ</t>
        </is>
      </c>
      <c r="E431" t="n">
        <v>114</v>
      </c>
      <c r="F431" t="n">
        <v>18</v>
      </c>
      <c r="G431">
        <f>E431*F431</f>
        <v/>
      </c>
    </row>
    <row r="432">
      <c r="A432" t="inlineStr">
        <is>
          <t>Home Blend (Collective)</t>
        </is>
      </c>
      <c r="B432" t="inlineStr">
        <is>
          <t>Caramel Latte</t>
        </is>
      </c>
      <c r="C432" t="inlineStr">
        <is>
          <t>2026-04</t>
        </is>
      </c>
      <c r="D432" t="inlineStr">
        <is>
          <t>SA</t>
        </is>
      </c>
      <c r="E432" t="n">
        <v>87</v>
      </c>
      <c r="F432" t="n">
        <v>18</v>
      </c>
      <c r="G432">
        <f>E432*F432</f>
        <v/>
      </c>
    </row>
    <row r="433">
      <c r="A433" t="inlineStr">
        <is>
          <t>Home Blend (Collective)</t>
        </is>
      </c>
      <c r="B433" t="inlineStr">
        <is>
          <t>Caramel Latte</t>
        </is>
      </c>
      <c r="C433" t="inlineStr">
        <is>
          <t>2026-04</t>
        </is>
      </c>
      <c r="D433" t="inlineStr">
        <is>
          <t>TAM</t>
        </is>
      </c>
      <c r="E433" t="n">
        <v>107</v>
      </c>
      <c r="F433" t="n">
        <v>18</v>
      </c>
      <c r="G433">
        <f>E433*F433</f>
        <v/>
      </c>
    </row>
    <row r="434">
      <c r="A434" t="inlineStr">
        <is>
          <t>Home Blend (Collective)</t>
        </is>
      </c>
      <c r="B434" t="inlineStr">
        <is>
          <t>Caramel Latte</t>
        </is>
      </c>
      <c r="C434" t="inlineStr">
        <is>
          <t>2026-05</t>
        </is>
      </c>
      <c r="D434" t="inlineStr">
        <is>
          <t>PJ</t>
        </is>
      </c>
      <c r="E434" t="n">
        <v>109</v>
      </c>
      <c r="F434" t="n">
        <v>18</v>
      </c>
      <c r="G434">
        <f>E434*F434</f>
        <v/>
      </c>
    </row>
    <row r="435">
      <c r="A435" t="inlineStr">
        <is>
          <t>Home Blend (Collective)</t>
        </is>
      </c>
      <c r="B435" t="inlineStr">
        <is>
          <t>Caramel Latte</t>
        </is>
      </c>
      <c r="C435" t="inlineStr">
        <is>
          <t>2026-05</t>
        </is>
      </c>
      <c r="D435" t="inlineStr">
        <is>
          <t>SA</t>
        </is>
      </c>
      <c r="E435" t="n">
        <v>80</v>
      </c>
      <c r="F435" t="n">
        <v>18</v>
      </c>
      <c r="G435">
        <f>E435*F435</f>
        <v/>
      </c>
    </row>
    <row r="436">
      <c r="A436" t="inlineStr">
        <is>
          <t>Home Blend (Collective)</t>
        </is>
      </c>
      <c r="B436" t="inlineStr">
        <is>
          <t>Caramel Latte</t>
        </is>
      </c>
      <c r="C436" t="inlineStr">
        <is>
          <t>2026-05</t>
        </is>
      </c>
      <c r="D436" t="inlineStr">
        <is>
          <t>TAM</t>
        </is>
      </c>
      <c r="E436" t="n">
        <v>88</v>
      </c>
      <c r="F436" t="n">
        <v>18</v>
      </c>
      <c r="G436">
        <f>E436*F436</f>
        <v/>
      </c>
    </row>
    <row r="437">
      <c r="A437" t="inlineStr">
        <is>
          <t>Home Blend (Collective)</t>
        </is>
      </c>
      <c r="B437" t="inlineStr">
        <is>
          <t>Caramel Latte</t>
        </is>
      </c>
      <c r="C437" t="inlineStr">
        <is>
          <t>2026-06</t>
        </is>
      </c>
      <c r="D437" t="inlineStr">
        <is>
          <t>PJ</t>
        </is>
      </c>
      <c r="E437" t="n">
        <v>109</v>
      </c>
      <c r="F437" t="n">
        <v>18</v>
      </c>
      <c r="G437">
        <f>E437*F437</f>
        <v/>
      </c>
    </row>
    <row r="438">
      <c r="A438" t="inlineStr">
        <is>
          <t>Home Blend (Collective)</t>
        </is>
      </c>
      <c r="B438" t="inlineStr">
        <is>
          <t>Caramel Latte</t>
        </is>
      </c>
      <c r="C438" t="inlineStr">
        <is>
          <t>2026-06</t>
        </is>
      </c>
      <c r="D438" t="inlineStr">
        <is>
          <t>SA</t>
        </is>
      </c>
      <c r="E438" t="n">
        <v>70</v>
      </c>
      <c r="F438" t="n">
        <v>18</v>
      </c>
      <c r="G438">
        <f>E438*F438</f>
        <v/>
      </c>
    </row>
    <row r="439">
      <c r="A439" t="inlineStr">
        <is>
          <t>Home Blend (Collective)</t>
        </is>
      </c>
      <c r="B439" t="inlineStr">
        <is>
          <t>Caramel Latte</t>
        </is>
      </c>
      <c r="C439" t="inlineStr">
        <is>
          <t>2026-06</t>
        </is>
      </c>
      <c r="D439" t="inlineStr">
        <is>
          <t>TAM</t>
        </is>
      </c>
      <c r="E439" t="n">
        <v>88</v>
      </c>
      <c r="F439" t="n">
        <v>18</v>
      </c>
      <c r="G439">
        <f>E439*F439</f>
        <v/>
      </c>
    </row>
    <row r="440">
      <c r="A440" t="inlineStr">
        <is>
          <t>Home Blend (Collective)</t>
        </is>
      </c>
      <c r="B440" t="inlineStr">
        <is>
          <t>Caramel Latte</t>
        </is>
      </c>
      <c r="C440" t="inlineStr">
        <is>
          <t>2026-07</t>
        </is>
      </c>
      <c r="D440" t="inlineStr">
        <is>
          <t>PJ</t>
        </is>
      </c>
      <c r="E440" t="n">
        <v>49</v>
      </c>
      <c r="F440" t="n">
        <v>18</v>
      </c>
      <c r="G440">
        <f>E440*F440</f>
        <v/>
      </c>
    </row>
    <row r="441">
      <c r="A441" t="inlineStr">
        <is>
          <t>Home Blend (Collective)</t>
        </is>
      </c>
      <c r="B441" t="inlineStr">
        <is>
          <t>Caramel Latte</t>
        </is>
      </c>
      <c r="C441" t="inlineStr">
        <is>
          <t>2026-07</t>
        </is>
      </c>
      <c r="D441" t="inlineStr">
        <is>
          <t>SA</t>
        </is>
      </c>
      <c r="E441" t="n">
        <v>61</v>
      </c>
      <c r="F441" t="n">
        <v>18</v>
      </c>
      <c r="G441">
        <f>E441*F441</f>
        <v/>
      </c>
    </row>
    <row r="442">
      <c r="A442" t="inlineStr">
        <is>
          <t>Home Blend (Collective)</t>
        </is>
      </c>
      <c r="B442" t="inlineStr">
        <is>
          <t>Caramel Latte</t>
        </is>
      </c>
      <c r="C442" t="inlineStr">
        <is>
          <t>2026-07</t>
        </is>
      </c>
      <c r="D442" t="inlineStr">
        <is>
          <t>TAM</t>
        </is>
      </c>
      <c r="E442" t="n">
        <v>50</v>
      </c>
      <c r="F442" t="n">
        <v>18</v>
      </c>
      <c r="G442">
        <f>E442*F442</f>
        <v/>
      </c>
    </row>
    <row r="443">
      <c r="A443" t="inlineStr">
        <is>
          <t>Home Blend (Collective)</t>
        </is>
      </c>
      <c r="B443" t="inlineStr">
        <is>
          <t>Caramel Latte (Bottle)</t>
        </is>
      </c>
      <c r="C443" t="inlineStr">
        <is>
          <t>2026-06</t>
        </is>
      </c>
      <c r="D443" t="inlineStr">
        <is>
          <t>TAM</t>
        </is>
      </c>
      <c r="E443" t="n">
        <v>30</v>
      </c>
      <c r="F443" t="n">
        <v>18</v>
      </c>
      <c r="G443">
        <f>E443*F443</f>
        <v/>
      </c>
    </row>
    <row r="444">
      <c r="A444" t="inlineStr">
        <is>
          <t>Home Blend (Collective)</t>
        </is>
      </c>
      <c r="B444" t="inlineStr">
        <is>
          <t>Caramel Macchiato</t>
        </is>
      </c>
      <c r="C444" t="inlineStr">
        <is>
          <t>2026-04</t>
        </is>
      </c>
      <c r="D444" t="inlineStr">
        <is>
          <t>PJ</t>
        </is>
      </c>
      <c r="E444" t="n">
        <v>128</v>
      </c>
      <c r="F444" t="n">
        <v>18</v>
      </c>
      <c r="G444">
        <f>E444*F444</f>
        <v/>
      </c>
    </row>
    <row r="445">
      <c r="A445" t="inlineStr">
        <is>
          <t>Home Blend (Collective)</t>
        </is>
      </c>
      <c r="B445" t="inlineStr">
        <is>
          <t>Caramel Macchiato</t>
        </is>
      </c>
      <c r="C445" t="inlineStr">
        <is>
          <t>2026-04</t>
        </is>
      </c>
      <c r="D445" t="inlineStr">
        <is>
          <t>SA</t>
        </is>
      </c>
      <c r="E445" t="n">
        <v>124</v>
      </c>
      <c r="F445" t="n">
        <v>18</v>
      </c>
      <c r="G445">
        <f>E445*F445</f>
        <v/>
      </c>
    </row>
    <row r="446">
      <c r="A446" t="inlineStr">
        <is>
          <t>Home Blend (Collective)</t>
        </is>
      </c>
      <c r="B446" t="inlineStr">
        <is>
          <t>Caramel Macchiato</t>
        </is>
      </c>
      <c r="C446" t="inlineStr">
        <is>
          <t>2026-04</t>
        </is>
      </c>
      <c r="D446" t="inlineStr">
        <is>
          <t>TAM</t>
        </is>
      </c>
      <c r="E446" t="n">
        <v>107</v>
      </c>
      <c r="F446" t="n">
        <v>18</v>
      </c>
      <c r="G446">
        <f>E446*F446</f>
        <v/>
      </c>
    </row>
    <row r="447">
      <c r="A447" t="inlineStr">
        <is>
          <t>Home Blend (Collective)</t>
        </is>
      </c>
      <c r="B447" t="inlineStr">
        <is>
          <t>Caramel Macchiato</t>
        </is>
      </c>
      <c r="C447" t="inlineStr">
        <is>
          <t>2026-05</t>
        </is>
      </c>
      <c r="D447" t="inlineStr">
        <is>
          <t>PJ</t>
        </is>
      </c>
      <c r="E447" t="n">
        <v>109</v>
      </c>
      <c r="F447" t="n">
        <v>18</v>
      </c>
      <c r="G447">
        <f>E447*F447</f>
        <v/>
      </c>
    </row>
    <row r="448">
      <c r="A448" t="inlineStr">
        <is>
          <t>Home Blend (Collective)</t>
        </is>
      </c>
      <c r="B448" t="inlineStr">
        <is>
          <t>Caramel Macchiato</t>
        </is>
      </c>
      <c r="C448" t="inlineStr">
        <is>
          <t>2026-05</t>
        </is>
      </c>
      <c r="D448" t="inlineStr">
        <is>
          <t>SA</t>
        </is>
      </c>
      <c r="E448" t="n">
        <v>122</v>
      </c>
      <c r="F448" t="n">
        <v>18</v>
      </c>
      <c r="G448">
        <f>E448*F448</f>
        <v/>
      </c>
    </row>
    <row r="449">
      <c r="A449" t="inlineStr">
        <is>
          <t>Home Blend (Collective)</t>
        </is>
      </c>
      <c r="B449" t="inlineStr">
        <is>
          <t>Caramel Macchiato</t>
        </is>
      </c>
      <c r="C449" t="inlineStr">
        <is>
          <t>2026-05</t>
        </is>
      </c>
      <c r="D449" t="inlineStr">
        <is>
          <t>TAM</t>
        </is>
      </c>
      <c r="E449" t="n">
        <v>99</v>
      </c>
      <c r="F449" t="n">
        <v>18</v>
      </c>
      <c r="G449">
        <f>E449*F449</f>
        <v/>
      </c>
    </row>
    <row r="450">
      <c r="A450" t="inlineStr">
        <is>
          <t>Home Blend (Collective)</t>
        </is>
      </c>
      <c r="B450" t="inlineStr">
        <is>
          <t>Caramel Macchiato</t>
        </is>
      </c>
      <c r="C450" t="inlineStr">
        <is>
          <t>2026-06</t>
        </is>
      </c>
      <c r="D450" t="inlineStr">
        <is>
          <t>PJ</t>
        </is>
      </c>
      <c r="E450" t="n">
        <v>94</v>
      </c>
      <c r="F450" t="n">
        <v>18</v>
      </c>
      <c r="G450">
        <f>E450*F450</f>
        <v/>
      </c>
    </row>
    <row r="451">
      <c r="A451" t="inlineStr">
        <is>
          <t>Home Blend (Collective)</t>
        </is>
      </c>
      <c r="B451" t="inlineStr">
        <is>
          <t>Caramel Macchiato</t>
        </is>
      </c>
      <c r="C451" t="inlineStr">
        <is>
          <t>2026-06</t>
        </is>
      </c>
      <c r="D451" t="inlineStr">
        <is>
          <t>SA</t>
        </is>
      </c>
      <c r="E451" t="n">
        <v>110</v>
      </c>
      <c r="F451" t="n">
        <v>18</v>
      </c>
      <c r="G451">
        <f>E451*F451</f>
        <v/>
      </c>
    </row>
    <row r="452">
      <c r="A452" t="inlineStr">
        <is>
          <t>Home Blend (Collective)</t>
        </is>
      </c>
      <c r="B452" t="inlineStr">
        <is>
          <t>Caramel Macchiato</t>
        </is>
      </c>
      <c r="C452" t="inlineStr">
        <is>
          <t>2026-06</t>
        </is>
      </c>
      <c r="D452" t="inlineStr">
        <is>
          <t>TAM</t>
        </is>
      </c>
      <c r="E452" t="n">
        <v>98</v>
      </c>
      <c r="F452" t="n">
        <v>18</v>
      </c>
      <c r="G452">
        <f>E452*F452</f>
        <v/>
      </c>
    </row>
    <row r="453">
      <c r="A453" t="inlineStr">
        <is>
          <t>Home Blend (Collective)</t>
        </is>
      </c>
      <c r="B453" t="inlineStr">
        <is>
          <t>Caramel Macchiato</t>
        </is>
      </c>
      <c r="C453" t="inlineStr">
        <is>
          <t>2026-07</t>
        </is>
      </c>
      <c r="D453" t="inlineStr">
        <is>
          <t>PJ</t>
        </is>
      </c>
      <c r="E453" t="n">
        <v>73</v>
      </c>
      <c r="F453" t="n">
        <v>18</v>
      </c>
      <c r="G453">
        <f>E453*F453</f>
        <v/>
      </c>
    </row>
    <row r="454">
      <c r="A454" t="inlineStr">
        <is>
          <t>Home Blend (Collective)</t>
        </is>
      </c>
      <c r="B454" t="inlineStr">
        <is>
          <t>Caramel Macchiato</t>
        </is>
      </c>
      <c r="C454" t="inlineStr">
        <is>
          <t>2026-07</t>
        </is>
      </c>
      <c r="D454" t="inlineStr">
        <is>
          <t>SA</t>
        </is>
      </c>
      <c r="E454" t="n">
        <v>69</v>
      </c>
      <c r="F454" t="n">
        <v>18</v>
      </c>
      <c r="G454">
        <f>E454*F454</f>
        <v/>
      </c>
    </row>
    <row r="455">
      <c r="A455" t="inlineStr">
        <is>
          <t>Home Blend (Collective)</t>
        </is>
      </c>
      <c r="B455" t="inlineStr">
        <is>
          <t>Caramel Macchiato</t>
        </is>
      </c>
      <c r="C455" t="inlineStr">
        <is>
          <t>2026-07</t>
        </is>
      </c>
      <c r="D455" t="inlineStr">
        <is>
          <t>TAM</t>
        </is>
      </c>
      <c r="E455" t="n">
        <v>69</v>
      </c>
      <c r="F455" t="n">
        <v>18</v>
      </c>
      <c r="G455">
        <f>E455*F455</f>
        <v/>
      </c>
    </row>
    <row r="456">
      <c r="A456" t="inlineStr">
        <is>
          <t>Home Blend (Collective)</t>
        </is>
      </c>
      <c r="B456" t="inlineStr">
        <is>
          <t>Classic Latte (Bottle)</t>
        </is>
      </c>
      <c r="C456" t="inlineStr">
        <is>
          <t>2026-05</t>
        </is>
      </c>
      <c r="D456" t="inlineStr">
        <is>
          <t>SA</t>
        </is>
      </c>
      <c r="E456" t="n">
        <v>6</v>
      </c>
      <c r="F456" t="n">
        <v>18</v>
      </c>
      <c r="G456">
        <f>E456*F456</f>
        <v/>
      </c>
    </row>
    <row r="457">
      <c r="A457" t="inlineStr">
        <is>
          <t>Home Blend (Collective)</t>
        </is>
      </c>
      <c r="B457" t="inlineStr">
        <is>
          <t>Classic Latte (Bottle)</t>
        </is>
      </c>
      <c r="C457" t="inlineStr">
        <is>
          <t>2026-06</t>
        </is>
      </c>
      <c r="D457" t="inlineStr">
        <is>
          <t>TAM</t>
        </is>
      </c>
      <c r="E457" t="n">
        <v>1</v>
      </c>
      <c r="F457" t="n">
        <v>18</v>
      </c>
      <c r="G457">
        <f>E457*F457</f>
        <v/>
      </c>
    </row>
    <row r="458">
      <c r="A458" t="inlineStr">
        <is>
          <t>Home Blend (Collective)</t>
        </is>
      </c>
      <c r="B458" t="inlineStr">
        <is>
          <t>Dirty Latte</t>
        </is>
      </c>
      <c r="C458" t="inlineStr">
        <is>
          <t>2026-04</t>
        </is>
      </c>
      <c r="D458" t="inlineStr">
        <is>
          <t>PJ</t>
        </is>
      </c>
      <c r="E458" t="n">
        <v>94</v>
      </c>
      <c r="F458" t="n">
        <v>18</v>
      </c>
      <c r="G458">
        <f>E458*F458</f>
        <v/>
      </c>
    </row>
    <row r="459">
      <c r="A459" t="inlineStr">
        <is>
          <t>Home Blend (Collective)</t>
        </is>
      </c>
      <c r="B459" t="inlineStr">
        <is>
          <t>Dirty Latte</t>
        </is>
      </c>
      <c r="C459" t="inlineStr">
        <is>
          <t>2026-04</t>
        </is>
      </c>
      <c r="D459" t="inlineStr">
        <is>
          <t>SA</t>
        </is>
      </c>
      <c r="E459" t="n">
        <v>130</v>
      </c>
      <c r="F459" t="n">
        <v>18</v>
      </c>
      <c r="G459">
        <f>E459*F459</f>
        <v/>
      </c>
    </row>
    <row r="460">
      <c r="A460" t="inlineStr">
        <is>
          <t>Home Blend (Collective)</t>
        </is>
      </c>
      <c r="B460" t="inlineStr">
        <is>
          <t>Dirty Latte</t>
        </is>
      </c>
      <c r="C460" t="inlineStr">
        <is>
          <t>2026-04</t>
        </is>
      </c>
      <c r="D460" t="inlineStr">
        <is>
          <t>TAM</t>
        </is>
      </c>
      <c r="E460" t="n">
        <v>89</v>
      </c>
      <c r="F460" t="n">
        <v>18</v>
      </c>
      <c r="G460">
        <f>E460*F460</f>
        <v/>
      </c>
    </row>
    <row r="461">
      <c r="A461" t="inlineStr">
        <is>
          <t>Home Blend (Collective)</t>
        </is>
      </c>
      <c r="B461" t="inlineStr">
        <is>
          <t>Dirty Latte</t>
        </is>
      </c>
      <c r="C461" t="inlineStr">
        <is>
          <t>2026-05</t>
        </is>
      </c>
      <c r="D461" t="inlineStr">
        <is>
          <t>PJ</t>
        </is>
      </c>
      <c r="E461" t="n">
        <v>107</v>
      </c>
      <c r="F461" t="n">
        <v>18</v>
      </c>
      <c r="G461">
        <f>E461*F461</f>
        <v/>
      </c>
    </row>
    <row r="462">
      <c r="A462" t="inlineStr">
        <is>
          <t>Home Blend (Collective)</t>
        </is>
      </c>
      <c r="B462" t="inlineStr">
        <is>
          <t>Dirty Latte</t>
        </is>
      </c>
      <c r="C462" t="inlineStr">
        <is>
          <t>2026-05</t>
        </is>
      </c>
      <c r="D462" t="inlineStr">
        <is>
          <t>SA</t>
        </is>
      </c>
      <c r="E462" t="n">
        <v>109</v>
      </c>
      <c r="F462" t="n">
        <v>18</v>
      </c>
      <c r="G462">
        <f>E462*F462</f>
        <v/>
      </c>
    </row>
    <row r="463">
      <c r="A463" t="inlineStr">
        <is>
          <t>Home Blend (Collective)</t>
        </is>
      </c>
      <c r="B463" t="inlineStr">
        <is>
          <t>Dirty Latte</t>
        </is>
      </c>
      <c r="C463" t="inlineStr">
        <is>
          <t>2026-05</t>
        </is>
      </c>
      <c r="D463" t="inlineStr">
        <is>
          <t>TAM</t>
        </is>
      </c>
      <c r="E463" t="n">
        <v>100</v>
      </c>
      <c r="F463" t="n">
        <v>18</v>
      </c>
      <c r="G463">
        <f>E463*F463</f>
        <v/>
      </c>
    </row>
    <row r="464">
      <c r="A464" t="inlineStr">
        <is>
          <t>Home Blend (Collective)</t>
        </is>
      </c>
      <c r="B464" t="inlineStr">
        <is>
          <t>Dirty Latte</t>
        </is>
      </c>
      <c r="C464" t="inlineStr">
        <is>
          <t>2026-06</t>
        </is>
      </c>
      <c r="D464" t="inlineStr">
        <is>
          <t>PJ</t>
        </is>
      </c>
      <c r="E464" t="n">
        <v>114</v>
      </c>
      <c r="F464" t="n">
        <v>18</v>
      </c>
      <c r="G464">
        <f>E464*F464</f>
        <v/>
      </c>
    </row>
    <row r="465">
      <c r="A465" t="inlineStr">
        <is>
          <t>Home Blend (Collective)</t>
        </is>
      </c>
      <c r="B465" t="inlineStr">
        <is>
          <t>Dirty Latte</t>
        </is>
      </c>
      <c r="C465" t="inlineStr">
        <is>
          <t>2026-06</t>
        </is>
      </c>
      <c r="D465" t="inlineStr">
        <is>
          <t>SA</t>
        </is>
      </c>
      <c r="E465" t="n">
        <v>112</v>
      </c>
      <c r="F465" t="n">
        <v>18</v>
      </c>
      <c r="G465">
        <f>E465*F465</f>
        <v/>
      </c>
    </row>
    <row r="466">
      <c r="A466" t="inlineStr">
        <is>
          <t>Home Blend (Collective)</t>
        </is>
      </c>
      <c r="B466" t="inlineStr">
        <is>
          <t>Dirty Latte</t>
        </is>
      </c>
      <c r="C466" t="inlineStr">
        <is>
          <t>2026-06</t>
        </is>
      </c>
      <c r="D466" t="inlineStr">
        <is>
          <t>TAM</t>
        </is>
      </c>
      <c r="E466" t="n">
        <v>121</v>
      </c>
      <c r="F466" t="n">
        <v>18</v>
      </c>
      <c r="G466">
        <f>E466*F466</f>
        <v/>
      </c>
    </row>
    <row r="467">
      <c r="A467" t="inlineStr">
        <is>
          <t>Home Blend (Collective)</t>
        </is>
      </c>
      <c r="B467" t="inlineStr">
        <is>
          <t>Dirty Latte</t>
        </is>
      </c>
      <c r="C467" t="inlineStr">
        <is>
          <t>2026-07</t>
        </is>
      </c>
      <c r="D467" t="inlineStr">
        <is>
          <t>PJ</t>
        </is>
      </c>
      <c r="E467" t="n">
        <v>92</v>
      </c>
      <c r="F467" t="n">
        <v>18</v>
      </c>
      <c r="G467">
        <f>E467*F467</f>
        <v/>
      </c>
    </row>
    <row r="468">
      <c r="A468" t="inlineStr">
        <is>
          <t>Home Blend (Collective)</t>
        </is>
      </c>
      <c r="B468" t="inlineStr">
        <is>
          <t>Dirty Latte</t>
        </is>
      </c>
      <c r="C468" t="inlineStr">
        <is>
          <t>2026-07</t>
        </is>
      </c>
      <c r="D468" t="inlineStr">
        <is>
          <t>SA</t>
        </is>
      </c>
      <c r="E468" t="n">
        <v>88</v>
      </c>
      <c r="F468" t="n">
        <v>18</v>
      </c>
      <c r="G468">
        <f>E468*F468</f>
        <v/>
      </c>
    </row>
    <row r="469">
      <c r="A469" t="inlineStr">
        <is>
          <t>Home Blend (Collective)</t>
        </is>
      </c>
      <c r="B469" t="inlineStr">
        <is>
          <t>Dirty Latte</t>
        </is>
      </c>
      <c r="C469" t="inlineStr">
        <is>
          <t>2026-07</t>
        </is>
      </c>
      <c r="D469" t="inlineStr">
        <is>
          <t>TAM</t>
        </is>
      </c>
      <c r="E469" t="n">
        <v>85</v>
      </c>
      <c r="F469" t="n">
        <v>18</v>
      </c>
      <c r="G469">
        <f>E469*F469</f>
        <v/>
      </c>
    </row>
    <row r="470">
      <c r="A470" t="inlineStr">
        <is>
          <t>Home Blend (Collective)</t>
        </is>
      </c>
      <c r="B470" t="inlineStr">
        <is>
          <t>Doppio Freddo</t>
        </is>
      </c>
      <c r="C470" t="inlineStr">
        <is>
          <t>2026-04</t>
        </is>
      </c>
      <c r="D470" t="inlineStr">
        <is>
          <t>PJ</t>
        </is>
      </c>
      <c r="E470" t="n">
        <v>109</v>
      </c>
      <c r="F470" t="n">
        <v>18</v>
      </c>
      <c r="G470">
        <f>E470*F470</f>
        <v/>
      </c>
    </row>
    <row r="471">
      <c r="A471" t="inlineStr">
        <is>
          <t>Home Blend (Collective)</t>
        </is>
      </c>
      <c r="B471" t="inlineStr">
        <is>
          <t>Doppio Freddo</t>
        </is>
      </c>
      <c r="C471" t="inlineStr">
        <is>
          <t>2026-04</t>
        </is>
      </c>
      <c r="D471" t="inlineStr">
        <is>
          <t>SA</t>
        </is>
      </c>
      <c r="E471" t="n">
        <v>79</v>
      </c>
      <c r="F471" t="n">
        <v>18</v>
      </c>
      <c r="G471">
        <f>E471*F471</f>
        <v/>
      </c>
    </row>
    <row r="472">
      <c r="A472" t="inlineStr">
        <is>
          <t>Home Blend (Collective)</t>
        </is>
      </c>
      <c r="B472" t="inlineStr">
        <is>
          <t>Doppio Freddo</t>
        </is>
      </c>
      <c r="C472" t="inlineStr">
        <is>
          <t>2026-04</t>
        </is>
      </c>
      <c r="D472" t="inlineStr">
        <is>
          <t>TAM</t>
        </is>
      </c>
      <c r="E472" t="n">
        <v>86</v>
      </c>
      <c r="F472" t="n">
        <v>18</v>
      </c>
      <c r="G472">
        <f>E472*F472</f>
        <v/>
      </c>
    </row>
    <row r="473">
      <c r="A473" t="inlineStr">
        <is>
          <t>Home Blend (Collective)</t>
        </is>
      </c>
      <c r="B473" t="inlineStr">
        <is>
          <t>Doppio Freddo</t>
        </is>
      </c>
      <c r="C473" t="inlineStr">
        <is>
          <t>2026-05</t>
        </is>
      </c>
      <c r="D473" t="inlineStr">
        <is>
          <t>PJ</t>
        </is>
      </c>
      <c r="E473" t="n">
        <v>113</v>
      </c>
      <c r="F473" t="n">
        <v>18</v>
      </c>
      <c r="G473">
        <f>E473*F473</f>
        <v/>
      </c>
    </row>
    <row r="474">
      <c r="A474" t="inlineStr">
        <is>
          <t>Home Blend (Collective)</t>
        </is>
      </c>
      <c r="B474" t="inlineStr">
        <is>
          <t>Doppio Freddo</t>
        </is>
      </c>
      <c r="C474" t="inlineStr">
        <is>
          <t>2026-05</t>
        </is>
      </c>
      <c r="D474" t="inlineStr">
        <is>
          <t>SA</t>
        </is>
      </c>
      <c r="E474" t="n">
        <v>78</v>
      </c>
      <c r="F474" t="n">
        <v>18</v>
      </c>
      <c r="G474">
        <f>E474*F474</f>
        <v/>
      </c>
    </row>
    <row r="475">
      <c r="A475" t="inlineStr">
        <is>
          <t>Home Blend (Collective)</t>
        </is>
      </c>
      <c r="B475" t="inlineStr">
        <is>
          <t>Doppio Freddo</t>
        </is>
      </c>
      <c r="C475" t="inlineStr">
        <is>
          <t>2026-05</t>
        </is>
      </c>
      <c r="D475" t="inlineStr">
        <is>
          <t>TAM</t>
        </is>
      </c>
      <c r="E475" t="n">
        <v>68</v>
      </c>
      <c r="F475" t="n">
        <v>18</v>
      </c>
      <c r="G475">
        <f>E475*F475</f>
        <v/>
      </c>
    </row>
    <row r="476">
      <c r="A476" t="inlineStr">
        <is>
          <t>Home Blend (Collective)</t>
        </is>
      </c>
      <c r="B476" t="inlineStr">
        <is>
          <t>Doppio Freddo</t>
        </is>
      </c>
      <c r="C476" t="inlineStr">
        <is>
          <t>2026-06</t>
        </is>
      </c>
      <c r="D476" t="inlineStr">
        <is>
          <t>PJ</t>
        </is>
      </c>
      <c r="E476" t="n">
        <v>77</v>
      </c>
      <c r="F476" t="n">
        <v>18</v>
      </c>
      <c r="G476">
        <f>E476*F476</f>
        <v/>
      </c>
    </row>
    <row r="477">
      <c r="A477" t="inlineStr">
        <is>
          <t>Home Blend (Collective)</t>
        </is>
      </c>
      <c r="B477" t="inlineStr">
        <is>
          <t>Doppio Freddo</t>
        </is>
      </c>
      <c r="C477" t="inlineStr">
        <is>
          <t>2026-06</t>
        </is>
      </c>
      <c r="D477" t="inlineStr">
        <is>
          <t>SA</t>
        </is>
      </c>
      <c r="E477" t="n">
        <v>78</v>
      </c>
      <c r="F477" t="n">
        <v>18</v>
      </c>
      <c r="G477">
        <f>E477*F477</f>
        <v/>
      </c>
    </row>
    <row r="478">
      <c r="A478" t="inlineStr">
        <is>
          <t>Home Blend (Collective)</t>
        </is>
      </c>
      <c r="B478" t="inlineStr">
        <is>
          <t>Doppio Freddo</t>
        </is>
      </c>
      <c r="C478" t="inlineStr">
        <is>
          <t>2026-06</t>
        </is>
      </c>
      <c r="D478" t="inlineStr">
        <is>
          <t>TAM</t>
        </is>
      </c>
      <c r="E478" t="n">
        <v>77</v>
      </c>
      <c r="F478" t="n">
        <v>18</v>
      </c>
      <c r="G478">
        <f>E478*F478</f>
        <v/>
      </c>
    </row>
    <row r="479">
      <c r="A479" t="inlineStr">
        <is>
          <t>Home Blend (Collective)</t>
        </is>
      </c>
      <c r="B479" t="inlineStr">
        <is>
          <t>Doppio Freddo</t>
        </is>
      </c>
      <c r="C479" t="inlineStr">
        <is>
          <t>2026-07</t>
        </is>
      </c>
      <c r="D479" t="inlineStr">
        <is>
          <t>PJ</t>
        </is>
      </c>
      <c r="E479" t="n">
        <v>65</v>
      </c>
      <c r="F479" t="n">
        <v>18</v>
      </c>
      <c r="G479">
        <f>E479*F479</f>
        <v/>
      </c>
    </row>
    <row r="480">
      <c r="A480" t="inlineStr">
        <is>
          <t>Home Blend (Collective)</t>
        </is>
      </c>
      <c r="B480" t="inlineStr">
        <is>
          <t>Doppio Freddo</t>
        </is>
      </c>
      <c r="C480" t="inlineStr">
        <is>
          <t>2026-07</t>
        </is>
      </c>
      <c r="D480" t="inlineStr">
        <is>
          <t>SA</t>
        </is>
      </c>
      <c r="E480" t="n">
        <v>46</v>
      </c>
      <c r="F480" t="n">
        <v>18</v>
      </c>
      <c r="G480">
        <f>E480*F480</f>
        <v/>
      </c>
    </row>
    <row r="481">
      <c r="A481" t="inlineStr">
        <is>
          <t>Home Blend (Collective)</t>
        </is>
      </c>
      <c r="B481" t="inlineStr">
        <is>
          <t>Doppio Freddo</t>
        </is>
      </c>
      <c r="C481" t="inlineStr">
        <is>
          <t>2026-07</t>
        </is>
      </c>
      <c r="D481" t="inlineStr">
        <is>
          <t>TAM</t>
        </is>
      </c>
      <c r="E481" t="n">
        <v>38</v>
      </c>
      <c r="F481" t="n">
        <v>18</v>
      </c>
      <c r="G481">
        <f>E481*F481</f>
        <v/>
      </c>
    </row>
    <row r="482">
      <c r="A482" t="inlineStr">
        <is>
          <t>Home Blend (Collective)</t>
        </is>
      </c>
      <c r="B482" t="inlineStr">
        <is>
          <t>Espresso</t>
        </is>
      </c>
      <c r="C482" t="inlineStr">
        <is>
          <t>2026-04</t>
        </is>
      </c>
      <c r="D482" t="inlineStr">
        <is>
          <t>PJ</t>
        </is>
      </c>
      <c r="E482" t="n">
        <v>94</v>
      </c>
      <c r="F482" t="n">
        <v>18</v>
      </c>
      <c r="G482">
        <f>E482*F482</f>
        <v/>
      </c>
    </row>
    <row r="483">
      <c r="A483" t="inlineStr">
        <is>
          <t>Home Blend (Collective)</t>
        </is>
      </c>
      <c r="B483" t="inlineStr">
        <is>
          <t>Espresso</t>
        </is>
      </c>
      <c r="C483" t="inlineStr">
        <is>
          <t>2026-04</t>
        </is>
      </c>
      <c r="D483" t="inlineStr">
        <is>
          <t>SA</t>
        </is>
      </c>
      <c r="E483" t="n">
        <v>10</v>
      </c>
      <c r="F483" t="n">
        <v>18</v>
      </c>
      <c r="G483">
        <f>E483*F483</f>
        <v/>
      </c>
    </row>
    <row r="484">
      <c r="A484" t="inlineStr">
        <is>
          <t>Home Blend (Collective)</t>
        </is>
      </c>
      <c r="B484" t="inlineStr">
        <is>
          <t>Espresso</t>
        </is>
      </c>
      <c r="C484" t="inlineStr">
        <is>
          <t>2026-04</t>
        </is>
      </c>
      <c r="D484" t="inlineStr">
        <is>
          <t>TAM</t>
        </is>
      </c>
      <c r="E484" t="n">
        <v>29</v>
      </c>
      <c r="F484" t="n">
        <v>18</v>
      </c>
      <c r="G484">
        <f>E484*F484</f>
        <v/>
      </c>
    </row>
    <row r="485">
      <c r="A485" t="inlineStr">
        <is>
          <t>Home Blend (Collective)</t>
        </is>
      </c>
      <c r="B485" t="inlineStr">
        <is>
          <t>Espresso</t>
        </is>
      </c>
      <c r="C485" t="inlineStr">
        <is>
          <t>2026-05</t>
        </is>
      </c>
      <c r="D485" t="inlineStr">
        <is>
          <t>PJ</t>
        </is>
      </c>
      <c r="E485" t="n">
        <v>96</v>
      </c>
      <c r="F485" t="n">
        <v>18</v>
      </c>
      <c r="G485">
        <f>E485*F485</f>
        <v/>
      </c>
    </row>
    <row r="486">
      <c r="A486" t="inlineStr">
        <is>
          <t>Home Blend (Collective)</t>
        </is>
      </c>
      <c r="B486" t="inlineStr">
        <is>
          <t>Espresso</t>
        </is>
      </c>
      <c r="C486" t="inlineStr">
        <is>
          <t>2026-05</t>
        </is>
      </c>
      <c r="D486" t="inlineStr">
        <is>
          <t>SA</t>
        </is>
      </c>
      <c r="E486" t="n">
        <v>10</v>
      </c>
      <c r="F486" t="n">
        <v>18</v>
      </c>
      <c r="G486">
        <f>E486*F486</f>
        <v/>
      </c>
    </row>
    <row r="487">
      <c r="A487" t="inlineStr">
        <is>
          <t>Home Blend (Collective)</t>
        </is>
      </c>
      <c r="B487" t="inlineStr">
        <is>
          <t>Espresso</t>
        </is>
      </c>
      <c r="C487" t="inlineStr">
        <is>
          <t>2026-05</t>
        </is>
      </c>
      <c r="D487" t="inlineStr">
        <is>
          <t>TAM</t>
        </is>
      </c>
      <c r="E487" t="n">
        <v>31</v>
      </c>
      <c r="F487" t="n">
        <v>18</v>
      </c>
      <c r="G487">
        <f>E487*F487</f>
        <v/>
      </c>
    </row>
    <row r="488">
      <c r="A488" t="inlineStr">
        <is>
          <t>Home Blend (Collective)</t>
        </is>
      </c>
      <c r="B488" t="inlineStr">
        <is>
          <t>Espresso</t>
        </is>
      </c>
      <c r="C488" t="inlineStr">
        <is>
          <t>2026-06</t>
        </is>
      </c>
      <c r="D488" t="inlineStr">
        <is>
          <t>PJ</t>
        </is>
      </c>
      <c r="E488" t="n">
        <v>47</v>
      </c>
      <c r="F488" t="n">
        <v>18</v>
      </c>
      <c r="G488">
        <f>E488*F488</f>
        <v/>
      </c>
    </row>
    <row r="489">
      <c r="A489" t="inlineStr">
        <is>
          <t>Home Blend (Collective)</t>
        </is>
      </c>
      <c r="B489" t="inlineStr">
        <is>
          <t>Espresso</t>
        </is>
      </c>
      <c r="C489" t="inlineStr">
        <is>
          <t>2026-06</t>
        </is>
      </c>
      <c r="D489" t="inlineStr">
        <is>
          <t>SA</t>
        </is>
      </c>
      <c r="E489" t="n">
        <v>13</v>
      </c>
      <c r="F489" t="n">
        <v>18</v>
      </c>
      <c r="G489">
        <f>E489*F489</f>
        <v/>
      </c>
    </row>
    <row r="490">
      <c r="A490" t="inlineStr">
        <is>
          <t>Home Blend (Collective)</t>
        </is>
      </c>
      <c r="B490" t="inlineStr">
        <is>
          <t>Espresso</t>
        </is>
      </c>
      <c r="C490" t="inlineStr">
        <is>
          <t>2026-06</t>
        </is>
      </c>
      <c r="D490" t="inlineStr">
        <is>
          <t>TAM</t>
        </is>
      </c>
      <c r="E490" t="n">
        <v>26</v>
      </c>
      <c r="F490" t="n">
        <v>18</v>
      </c>
      <c r="G490">
        <f>E490*F490</f>
        <v/>
      </c>
    </row>
    <row r="491">
      <c r="A491" t="inlineStr">
        <is>
          <t>Home Blend (Collective)</t>
        </is>
      </c>
      <c r="B491" t="inlineStr">
        <is>
          <t>Espresso</t>
        </is>
      </c>
      <c r="C491" t="inlineStr">
        <is>
          <t>2026-07</t>
        </is>
      </c>
      <c r="D491" t="inlineStr">
        <is>
          <t>PJ</t>
        </is>
      </c>
      <c r="E491" t="n">
        <v>35</v>
      </c>
      <c r="F491" t="n">
        <v>18</v>
      </c>
      <c r="G491">
        <f>E491*F491</f>
        <v/>
      </c>
    </row>
    <row r="492">
      <c r="A492" t="inlineStr">
        <is>
          <t>Home Blend (Collective)</t>
        </is>
      </c>
      <c r="B492" t="inlineStr">
        <is>
          <t>Espresso</t>
        </is>
      </c>
      <c r="C492" t="inlineStr">
        <is>
          <t>2026-07</t>
        </is>
      </c>
      <c r="D492" t="inlineStr">
        <is>
          <t>SA</t>
        </is>
      </c>
      <c r="E492" t="n">
        <v>6</v>
      </c>
      <c r="F492" t="n">
        <v>18</v>
      </c>
      <c r="G492">
        <f>E492*F492</f>
        <v/>
      </c>
    </row>
    <row r="493">
      <c r="A493" t="inlineStr">
        <is>
          <t>Home Blend (Collective)</t>
        </is>
      </c>
      <c r="B493" t="inlineStr">
        <is>
          <t>Espresso</t>
        </is>
      </c>
      <c r="C493" t="inlineStr">
        <is>
          <t>2026-07</t>
        </is>
      </c>
      <c r="D493" t="inlineStr">
        <is>
          <t>TAM</t>
        </is>
      </c>
      <c r="E493" t="n">
        <v>50</v>
      </c>
      <c r="F493" t="n">
        <v>18</v>
      </c>
      <c r="G493">
        <f>E493*F493</f>
        <v/>
      </c>
    </row>
    <row r="494">
      <c r="A494" t="inlineStr">
        <is>
          <t>Home Blend (Collective)</t>
        </is>
      </c>
      <c r="B494" t="inlineStr">
        <is>
          <t>Hazelnut Latte</t>
        </is>
      </c>
      <c r="C494" t="inlineStr">
        <is>
          <t>2026-04</t>
        </is>
      </c>
      <c r="D494" t="inlineStr">
        <is>
          <t>PJ</t>
        </is>
      </c>
      <c r="E494" t="n">
        <v>127</v>
      </c>
      <c r="F494" t="n">
        <v>18</v>
      </c>
      <c r="G494">
        <f>E494*F494</f>
        <v/>
      </c>
    </row>
    <row r="495">
      <c r="A495" t="inlineStr">
        <is>
          <t>Home Blend (Collective)</t>
        </is>
      </c>
      <c r="B495" t="inlineStr">
        <is>
          <t>Hazelnut Latte</t>
        </is>
      </c>
      <c r="C495" t="inlineStr">
        <is>
          <t>2026-04</t>
        </is>
      </c>
      <c r="D495" t="inlineStr">
        <is>
          <t>SA</t>
        </is>
      </c>
      <c r="E495" t="n">
        <v>131</v>
      </c>
      <c r="F495" t="n">
        <v>18</v>
      </c>
      <c r="G495">
        <f>E495*F495</f>
        <v/>
      </c>
    </row>
    <row r="496">
      <c r="A496" t="inlineStr">
        <is>
          <t>Home Blend (Collective)</t>
        </is>
      </c>
      <c r="B496" t="inlineStr">
        <is>
          <t>Hazelnut Latte</t>
        </is>
      </c>
      <c r="C496" t="inlineStr">
        <is>
          <t>2026-04</t>
        </is>
      </c>
      <c r="D496" t="inlineStr">
        <is>
          <t>TAM</t>
        </is>
      </c>
      <c r="E496" t="n">
        <v>94</v>
      </c>
      <c r="F496" t="n">
        <v>18</v>
      </c>
      <c r="G496">
        <f>E496*F496</f>
        <v/>
      </c>
    </row>
    <row r="497">
      <c r="A497" t="inlineStr">
        <is>
          <t>Home Blend (Collective)</t>
        </is>
      </c>
      <c r="B497" t="inlineStr">
        <is>
          <t>Hazelnut Latte</t>
        </is>
      </c>
      <c r="C497" t="inlineStr">
        <is>
          <t>2026-05</t>
        </is>
      </c>
      <c r="D497" t="inlineStr">
        <is>
          <t>PJ</t>
        </is>
      </c>
      <c r="E497" t="n">
        <v>119</v>
      </c>
      <c r="F497" t="n">
        <v>18</v>
      </c>
      <c r="G497">
        <f>E497*F497</f>
        <v/>
      </c>
    </row>
    <row r="498">
      <c r="A498" t="inlineStr">
        <is>
          <t>Home Blend (Collective)</t>
        </is>
      </c>
      <c r="B498" t="inlineStr">
        <is>
          <t>Hazelnut Latte</t>
        </is>
      </c>
      <c r="C498" t="inlineStr">
        <is>
          <t>2026-05</t>
        </is>
      </c>
      <c r="D498" t="inlineStr">
        <is>
          <t>SA</t>
        </is>
      </c>
      <c r="E498" t="n">
        <v>102</v>
      </c>
      <c r="F498" t="n">
        <v>18</v>
      </c>
      <c r="G498">
        <f>E498*F498</f>
        <v/>
      </c>
    </row>
    <row r="499">
      <c r="A499" t="inlineStr">
        <is>
          <t>Home Blend (Collective)</t>
        </is>
      </c>
      <c r="B499" t="inlineStr">
        <is>
          <t>Hazelnut Latte</t>
        </is>
      </c>
      <c r="C499" t="inlineStr">
        <is>
          <t>2026-05</t>
        </is>
      </c>
      <c r="D499" t="inlineStr">
        <is>
          <t>TAM</t>
        </is>
      </c>
      <c r="E499" t="n">
        <v>81</v>
      </c>
      <c r="F499" t="n">
        <v>18</v>
      </c>
      <c r="G499">
        <f>E499*F499</f>
        <v/>
      </c>
    </row>
    <row r="500">
      <c r="A500" t="inlineStr">
        <is>
          <t>Home Blend (Collective)</t>
        </is>
      </c>
      <c r="B500" t="inlineStr">
        <is>
          <t>Hazelnut Latte</t>
        </is>
      </c>
      <c r="C500" t="inlineStr">
        <is>
          <t>2026-06</t>
        </is>
      </c>
      <c r="D500" t="inlineStr">
        <is>
          <t>PJ</t>
        </is>
      </c>
      <c r="E500" t="n">
        <v>87</v>
      </c>
      <c r="F500" t="n">
        <v>18</v>
      </c>
      <c r="G500">
        <f>E500*F500</f>
        <v/>
      </c>
    </row>
    <row r="501">
      <c r="A501" t="inlineStr">
        <is>
          <t>Home Blend (Collective)</t>
        </is>
      </c>
      <c r="B501" t="inlineStr">
        <is>
          <t>Hazelnut Latte</t>
        </is>
      </c>
      <c r="C501" t="inlineStr">
        <is>
          <t>2026-06</t>
        </is>
      </c>
      <c r="D501" t="inlineStr">
        <is>
          <t>SA</t>
        </is>
      </c>
      <c r="E501" t="n">
        <v>79</v>
      </c>
      <c r="F501" t="n">
        <v>18</v>
      </c>
      <c r="G501">
        <f>E501*F501</f>
        <v/>
      </c>
    </row>
    <row r="502">
      <c r="A502" t="inlineStr">
        <is>
          <t>Home Blend (Collective)</t>
        </is>
      </c>
      <c r="B502" t="inlineStr">
        <is>
          <t>Hazelnut Latte</t>
        </is>
      </c>
      <c r="C502" t="inlineStr">
        <is>
          <t>2026-06</t>
        </is>
      </c>
      <c r="D502" t="inlineStr">
        <is>
          <t>TAM</t>
        </is>
      </c>
      <c r="E502" t="n">
        <v>100</v>
      </c>
      <c r="F502" t="n">
        <v>18</v>
      </c>
      <c r="G502">
        <f>E502*F502</f>
        <v/>
      </c>
    </row>
    <row r="503">
      <c r="A503" t="inlineStr">
        <is>
          <t>Home Blend (Collective)</t>
        </is>
      </c>
      <c r="B503" t="inlineStr">
        <is>
          <t>Hazelnut Latte</t>
        </is>
      </c>
      <c r="C503" t="inlineStr">
        <is>
          <t>2026-07</t>
        </is>
      </c>
      <c r="D503" t="inlineStr">
        <is>
          <t>PJ</t>
        </is>
      </c>
      <c r="E503" t="n">
        <v>78</v>
      </c>
      <c r="F503" t="n">
        <v>18</v>
      </c>
      <c r="G503">
        <f>E503*F503</f>
        <v/>
      </c>
    </row>
    <row r="504">
      <c r="A504" t="inlineStr">
        <is>
          <t>Home Blend (Collective)</t>
        </is>
      </c>
      <c r="B504" t="inlineStr">
        <is>
          <t>Hazelnut Latte</t>
        </is>
      </c>
      <c r="C504" t="inlineStr">
        <is>
          <t>2026-07</t>
        </is>
      </c>
      <c r="D504" t="inlineStr">
        <is>
          <t>SA</t>
        </is>
      </c>
      <c r="E504" t="n">
        <v>77</v>
      </c>
      <c r="F504" t="n">
        <v>18</v>
      </c>
      <c r="G504">
        <f>E504*F504</f>
        <v/>
      </c>
    </row>
    <row r="505">
      <c r="A505" t="inlineStr">
        <is>
          <t>Home Blend (Collective)</t>
        </is>
      </c>
      <c r="B505" t="inlineStr">
        <is>
          <t>Hazelnut Latte</t>
        </is>
      </c>
      <c r="C505" t="inlineStr">
        <is>
          <t>2026-07</t>
        </is>
      </c>
      <c r="D505" t="inlineStr">
        <is>
          <t>TAM</t>
        </is>
      </c>
      <c r="E505" t="n">
        <v>84</v>
      </c>
      <c r="F505" t="n">
        <v>18</v>
      </c>
      <c r="G505">
        <f>E505*F505</f>
        <v/>
      </c>
    </row>
    <row r="506">
      <c r="A506" t="inlineStr">
        <is>
          <t>Home Blend (Collective)</t>
        </is>
      </c>
      <c r="B506" t="inlineStr">
        <is>
          <t>Latte</t>
        </is>
      </c>
      <c r="C506" t="inlineStr">
        <is>
          <t>2026-04</t>
        </is>
      </c>
      <c r="D506" t="inlineStr">
        <is>
          <t>PJ</t>
        </is>
      </c>
      <c r="E506" t="n">
        <v>1274</v>
      </c>
      <c r="F506" t="n">
        <v>18</v>
      </c>
      <c r="G506">
        <f>E506*F506</f>
        <v/>
      </c>
    </row>
    <row r="507">
      <c r="A507" t="inlineStr">
        <is>
          <t>Home Blend (Collective)</t>
        </is>
      </c>
      <c r="B507" t="inlineStr">
        <is>
          <t>Latte</t>
        </is>
      </c>
      <c r="C507" t="inlineStr">
        <is>
          <t>2026-04</t>
        </is>
      </c>
      <c r="D507" t="inlineStr">
        <is>
          <t>SA</t>
        </is>
      </c>
      <c r="E507" t="n">
        <v>813</v>
      </c>
      <c r="F507" t="n">
        <v>18</v>
      </c>
      <c r="G507">
        <f>E507*F507</f>
        <v/>
      </c>
    </row>
    <row r="508">
      <c r="A508" t="inlineStr">
        <is>
          <t>Home Blend (Collective)</t>
        </is>
      </c>
      <c r="B508" t="inlineStr">
        <is>
          <t>Latte</t>
        </is>
      </c>
      <c r="C508" t="inlineStr">
        <is>
          <t>2026-04</t>
        </is>
      </c>
      <c r="D508" t="inlineStr">
        <is>
          <t>TAM</t>
        </is>
      </c>
      <c r="E508" t="n">
        <v>747</v>
      </c>
      <c r="F508" t="n">
        <v>18</v>
      </c>
      <c r="G508">
        <f>E508*F508</f>
        <v/>
      </c>
    </row>
    <row r="509">
      <c r="A509" t="inlineStr">
        <is>
          <t>Home Blend (Collective)</t>
        </is>
      </c>
      <c r="B509" t="inlineStr">
        <is>
          <t>Latte</t>
        </is>
      </c>
      <c r="C509" t="inlineStr">
        <is>
          <t>2026-05</t>
        </is>
      </c>
      <c r="D509" t="inlineStr">
        <is>
          <t>PJ</t>
        </is>
      </c>
      <c r="E509" t="n">
        <v>1111</v>
      </c>
      <c r="F509" t="n">
        <v>18</v>
      </c>
      <c r="G509">
        <f>E509*F509</f>
        <v/>
      </c>
    </row>
    <row r="510">
      <c r="A510" t="inlineStr">
        <is>
          <t>Home Blend (Collective)</t>
        </is>
      </c>
      <c r="B510" t="inlineStr">
        <is>
          <t>Latte</t>
        </is>
      </c>
      <c r="C510" t="inlineStr">
        <is>
          <t>2026-05</t>
        </is>
      </c>
      <c r="D510" t="inlineStr">
        <is>
          <t>SA</t>
        </is>
      </c>
      <c r="E510" t="n">
        <v>1033</v>
      </c>
      <c r="F510" t="n">
        <v>18</v>
      </c>
      <c r="G510">
        <f>E510*F510</f>
        <v/>
      </c>
    </row>
    <row r="511">
      <c r="A511" t="inlineStr">
        <is>
          <t>Home Blend (Collective)</t>
        </is>
      </c>
      <c r="B511" t="inlineStr">
        <is>
          <t>Latte</t>
        </is>
      </c>
      <c r="C511" t="inlineStr">
        <is>
          <t>2026-05</t>
        </is>
      </c>
      <c r="D511" t="inlineStr">
        <is>
          <t>TAM</t>
        </is>
      </c>
      <c r="E511" t="n">
        <v>647</v>
      </c>
      <c r="F511" t="n">
        <v>18</v>
      </c>
      <c r="G511">
        <f>E511*F511</f>
        <v/>
      </c>
    </row>
    <row r="512">
      <c r="A512" t="inlineStr">
        <is>
          <t>Home Blend (Collective)</t>
        </is>
      </c>
      <c r="B512" t="inlineStr">
        <is>
          <t>Latte</t>
        </is>
      </c>
      <c r="C512" t="inlineStr">
        <is>
          <t>2026-06</t>
        </is>
      </c>
      <c r="D512" t="inlineStr">
        <is>
          <t>PJ</t>
        </is>
      </c>
      <c r="E512" t="n">
        <v>1051</v>
      </c>
      <c r="F512" t="n">
        <v>18</v>
      </c>
      <c r="G512">
        <f>E512*F512</f>
        <v/>
      </c>
    </row>
    <row r="513">
      <c r="A513" t="inlineStr">
        <is>
          <t>Home Blend (Collective)</t>
        </is>
      </c>
      <c r="B513" t="inlineStr">
        <is>
          <t>Latte</t>
        </is>
      </c>
      <c r="C513" t="inlineStr">
        <is>
          <t>2026-06</t>
        </is>
      </c>
      <c r="D513" t="inlineStr">
        <is>
          <t>SA</t>
        </is>
      </c>
      <c r="E513" t="n">
        <v>837</v>
      </c>
      <c r="F513" t="n">
        <v>18</v>
      </c>
      <c r="G513">
        <f>E513*F513</f>
        <v/>
      </c>
    </row>
    <row r="514">
      <c r="A514" t="inlineStr">
        <is>
          <t>Home Blend (Collective)</t>
        </is>
      </c>
      <c r="B514" t="inlineStr">
        <is>
          <t>Latte</t>
        </is>
      </c>
      <c r="C514" t="inlineStr">
        <is>
          <t>2026-06</t>
        </is>
      </c>
      <c r="D514" t="inlineStr">
        <is>
          <t>TAM</t>
        </is>
      </c>
      <c r="E514" t="n">
        <v>621</v>
      </c>
      <c r="F514" t="n">
        <v>18</v>
      </c>
      <c r="G514">
        <f>E514*F514</f>
        <v/>
      </c>
    </row>
    <row r="515">
      <c r="A515" t="inlineStr">
        <is>
          <t>Home Blend (Collective)</t>
        </is>
      </c>
      <c r="B515" t="inlineStr">
        <is>
          <t>Latte</t>
        </is>
      </c>
      <c r="C515" t="inlineStr">
        <is>
          <t>2026-07</t>
        </is>
      </c>
      <c r="D515" t="inlineStr">
        <is>
          <t>PJ</t>
        </is>
      </c>
      <c r="E515" t="n">
        <v>856</v>
      </c>
      <c r="F515" t="n">
        <v>18</v>
      </c>
      <c r="G515">
        <f>E515*F515</f>
        <v/>
      </c>
    </row>
    <row r="516">
      <c r="A516" t="inlineStr">
        <is>
          <t>Home Blend (Collective)</t>
        </is>
      </c>
      <c r="B516" t="inlineStr">
        <is>
          <t>Latte</t>
        </is>
      </c>
      <c r="C516" t="inlineStr">
        <is>
          <t>2026-07</t>
        </is>
      </c>
      <c r="D516" t="inlineStr">
        <is>
          <t>SA</t>
        </is>
      </c>
      <c r="E516" t="n">
        <v>739</v>
      </c>
      <c r="F516" t="n">
        <v>18</v>
      </c>
      <c r="G516">
        <f>E516*F516</f>
        <v/>
      </c>
    </row>
    <row r="517">
      <c r="A517" t="inlineStr">
        <is>
          <t>Home Blend (Collective)</t>
        </is>
      </c>
      <c r="B517" t="inlineStr">
        <is>
          <t>Latte</t>
        </is>
      </c>
      <c r="C517" t="inlineStr">
        <is>
          <t>2026-07</t>
        </is>
      </c>
      <c r="D517" t="inlineStr">
        <is>
          <t>TAM</t>
        </is>
      </c>
      <c r="E517" t="n">
        <v>595</v>
      </c>
      <c r="F517" t="n">
        <v>18</v>
      </c>
      <c r="G517">
        <f>E517*F517</f>
        <v/>
      </c>
    </row>
    <row r="518">
      <c r="A518" t="inlineStr">
        <is>
          <t>Home Blend (Collective)</t>
        </is>
      </c>
      <c r="B518" t="inlineStr">
        <is>
          <t>Mocha</t>
        </is>
      </c>
      <c r="C518" t="inlineStr">
        <is>
          <t>2026-04</t>
        </is>
      </c>
      <c r="D518" t="inlineStr">
        <is>
          <t>PJ</t>
        </is>
      </c>
      <c r="E518" t="n">
        <v>127</v>
      </c>
      <c r="F518" t="n">
        <v>18</v>
      </c>
      <c r="G518">
        <f>E518*F518</f>
        <v/>
      </c>
    </row>
    <row r="519">
      <c r="A519" t="inlineStr">
        <is>
          <t>Home Blend (Collective)</t>
        </is>
      </c>
      <c r="B519" t="inlineStr">
        <is>
          <t>Mocha</t>
        </is>
      </c>
      <c r="C519" t="inlineStr">
        <is>
          <t>2026-04</t>
        </is>
      </c>
      <c r="D519" t="inlineStr">
        <is>
          <t>SA</t>
        </is>
      </c>
      <c r="E519" t="n">
        <v>79</v>
      </c>
      <c r="F519" t="n">
        <v>18</v>
      </c>
      <c r="G519">
        <f>E519*F519</f>
        <v/>
      </c>
    </row>
    <row r="520">
      <c r="A520" t="inlineStr">
        <is>
          <t>Home Blend (Collective)</t>
        </is>
      </c>
      <c r="B520" t="inlineStr">
        <is>
          <t>Mocha</t>
        </is>
      </c>
      <c r="C520" t="inlineStr">
        <is>
          <t>2026-04</t>
        </is>
      </c>
      <c r="D520" t="inlineStr">
        <is>
          <t>TAM</t>
        </is>
      </c>
      <c r="E520" t="n">
        <v>80</v>
      </c>
      <c r="F520" t="n">
        <v>18</v>
      </c>
      <c r="G520">
        <f>E520*F520</f>
        <v/>
      </c>
    </row>
    <row r="521">
      <c r="A521" t="inlineStr">
        <is>
          <t>Home Blend (Collective)</t>
        </is>
      </c>
      <c r="B521" t="inlineStr">
        <is>
          <t>Mocha</t>
        </is>
      </c>
      <c r="C521" t="inlineStr">
        <is>
          <t>2026-05</t>
        </is>
      </c>
      <c r="D521" t="inlineStr">
        <is>
          <t>PJ</t>
        </is>
      </c>
      <c r="E521" t="n">
        <v>118</v>
      </c>
      <c r="F521" t="n">
        <v>18</v>
      </c>
      <c r="G521">
        <f>E521*F521</f>
        <v/>
      </c>
    </row>
    <row r="522">
      <c r="A522" t="inlineStr">
        <is>
          <t>Home Blend (Collective)</t>
        </is>
      </c>
      <c r="B522" t="inlineStr">
        <is>
          <t>Mocha</t>
        </is>
      </c>
      <c r="C522" t="inlineStr">
        <is>
          <t>2026-05</t>
        </is>
      </c>
      <c r="D522" t="inlineStr">
        <is>
          <t>SA</t>
        </is>
      </c>
      <c r="E522" t="n">
        <v>87</v>
      </c>
      <c r="F522" t="n">
        <v>18</v>
      </c>
      <c r="G522">
        <f>E522*F522</f>
        <v/>
      </c>
    </row>
    <row r="523">
      <c r="A523" t="inlineStr">
        <is>
          <t>Home Blend (Collective)</t>
        </is>
      </c>
      <c r="B523" t="inlineStr">
        <is>
          <t>Mocha</t>
        </is>
      </c>
      <c r="C523" t="inlineStr">
        <is>
          <t>2026-05</t>
        </is>
      </c>
      <c r="D523" t="inlineStr">
        <is>
          <t>TAM</t>
        </is>
      </c>
      <c r="E523" t="n">
        <v>70</v>
      </c>
      <c r="F523" t="n">
        <v>18</v>
      </c>
      <c r="G523">
        <f>E523*F523</f>
        <v/>
      </c>
    </row>
    <row r="524">
      <c r="A524" t="inlineStr">
        <is>
          <t>Home Blend (Collective)</t>
        </is>
      </c>
      <c r="B524" t="inlineStr">
        <is>
          <t>Mocha</t>
        </is>
      </c>
      <c r="C524" t="inlineStr">
        <is>
          <t>2026-06</t>
        </is>
      </c>
      <c r="D524" t="inlineStr">
        <is>
          <t>PJ</t>
        </is>
      </c>
      <c r="E524" t="n">
        <v>81</v>
      </c>
      <c r="F524" t="n">
        <v>18</v>
      </c>
      <c r="G524">
        <f>E524*F524</f>
        <v/>
      </c>
    </row>
    <row r="525">
      <c r="A525" t="inlineStr">
        <is>
          <t>Home Blend (Collective)</t>
        </is>
      </c>
      <c r="B525" t="inlineStr">
        <is>
          <t>Mocha</t>
        </is>
      </c>
      <c r="C525" t="inlineStr">
        <is>
          <t>2026-06</t>
        </is>
      </c>
      <c r="D525" t="inlineStr">
        <is>
          <t>SA</t>
        </is>
      </c>
      <c r="E525" t="n">
        <v>65</v>
      </c>
      <c r="F525" t="n">
        <v>18</v>
      </c>
      <c r="G525">
        <f>E525*F525</f>
        <v/>
      </c>
    </row>
    <row r="526">
      <c r="A526" t="inlineStr">
        <is>
          <t>Home Blend (Collective)</t>
        </is>
      </c>
      <c r="B526" t="inlineStr">
        <is>
          <t>Mocha</t>
        </is>
      </c>
      <c r="C526" t="inlineStr">
        <is>
          <t>2026-06</t>
        </is>
      </c>
      <c r="D526" t="inlineStr">
        <is>
          <t>TAM</t>
        </is>
      </c>
      <c r="E526" t="n">
        <v>55</v>
      </c>
      <c r="F526" t="n">
        <v>18</v>
      </c>
      <c r="G526">
        <f>E526*F526</f>
        <v/>
      </c>
    </row>
    <row r="527">
      <c r="A527" t="inlineStr">
        <is>
          <t>Home Blend (Collective)</t>
        </is>
      </c>
      <c r="B527" t="inlineStr">
        <is>
          <t>Mocha</t>
        </is>
      </c>
      <c r="C527" t="inlineStr">
        <is>
          <t>2026-07</t>
        </is>
      </c>
      <c r="D527" t="inlineStr">
        <is>
          <t>PJ</t>
        </is>
      </c>
      <c r="E527" t="n">
        <v>83</v>
      </c>
      <c r="F527" t="n">
        <v>18</v>
      </c>
      <c r="G527">
        <f>E527*F527</f>
        <v/>
      </c>
    </row>
    <row r="528">
      <c r="A528" t="inlineStr">
        <is>
          <t>Home Blend (Collective)</t>
        </is>
      </c>
      <c r="B528" t="inlineStr">
        <is>
          <t>Mocha</t>
        </is>
      </c>
      <c r="C528" t="inlineStr">
        <is>
          <t>2026-07</t>
        </is>
      </c>
      <c r="D528" t="inlineStr">
        <is>
          <t>SA</t>
        </is>
      </c>
      <c r="E528" t="n">
        <v>43</v>
      </c>
      <c r="F528" t="n">
        <v>18</v>
      </c>
      <c r="G528">
        <f>E528*F528</f>
        <v/>
      </c>
    </row>
    <row r="529">
      <c r="A529" t="inlineStr">
        <is>
          <t>Home Blend (Collective)</t>
        </is>
      </c>
      <c r="B529" t="inlineStr">
        <is>
          <t>Mocha</t>
        </is>
      </c>
      <c r="C529" t="inlineStr">
        <is>
          <t>2026-07</t>
        </is>
      </c>
      <c r="D529" t="inlineStr">
        <is>
          <t>TAM</t>
        </is>
      </c>
      <c r="E529" t="n">
        <v>55</v>
      </c>
      <c r="F529" t="n">
        <v>18</v>
      </c>
      <c r="G529">
        <f>E529*F529</f>
        <v/>
      </c>
    </row>
    <row r="530">
      <c r="A530" t="inlineStr">
        <is>
          <t>Home Blend (Collective)</t>
        </is>
      </c>
      <c r="B530" t="inlineStr">
        <is>
          <t>Mocha (Bottle)</t>
        </is>
      </c>
      <c r="C530" t="inlineStr">
        <is>
          <t>2026-04</t>
        </is>
      </c>
      <c r="D530" t="inlineStr">
        <is>
          <t>TAM</t>
        </is>
      </c>
      <c r="E530" t="n">
        <v>1</v>
      </c>
      <c r="F530" t="n">
        <v>18</v>
      </c>
      <c r="G530">
        <f>E530*F530</f>
        <v/>
      </c>
    </row>
    <row r="531">
      <c r="A531" t="inlineStr">
        <is>
          <t>Home Blend (Collective)</t>
        </is>
      </c>
      <c r="B531" t="inlineStr">
        <is>
          <t>Mont Blanc</t>
        </is>
      </c>
      <c r="C531" t="inlineStr">
        <is>
          <t>2026-04</t>
        </is>
      </c>
      <c r="D531" t="inlineStr">
        <is>
          <t>PJ</t>
        </is>
      </c>
      <c r="E531" t="n">
        <v>138</v>
      </c>
      <c r="F531" t="n">
        <v>18</v>
      </c>
      <c r="G531">
        <f>E531*F531</f>
        <v/>
      </c>
    </row>
    <row r="532">
      <c r="A532" t="inlineStr">
        <is>
          <t>Home Blend (Collective)</t>
        </is>
      </c>
      <c r="B532" t="inlineStr">
        <is>
          <t>Mont Blanc</t>
        </is>
      </c>
      <c r="C532" t="inlineStr">
        <is>
          <t>2026-04</t>
        </is>
      </c>
      <c r="D532" t="inlineStr">
        <is>
          <t>SA</t>
        </is>
      </c>
      <c r="E532" t="n">
        <v>164</v>
      </c>
      <c r="F532" t="n">
        <v>18</v>
      </c>
      <c r="G532">
        <f>E532*F532</f>
        <v/>
      </c>
    </row>
    <row r="533">
      <c r="A533" t="inlineStr">
        <is>
          <t>Home Blend (Collective)</t>
        </is>
      </c>
      <c r="B533" t="inlineStr">
        <is>
          <t>Mont Blanc</t>
        </is>
      </c>
      <c r="C533" t="inlineStr">
        <is>
          <t>2026-04</t>
        </is>
      </c>
      <c r="D533" t="inlineStr">
        <is>
          <t>TAM</t>
        </is>
      </c>
      <c r="E533" t="n">
        <v>173</v>
      </c>
      <c r="F533" t="n">
        <v>18</v>
      </c>
      <c r="G533">
        <f>E533*F533</f>
        <v/>
      </c>
    </row>
    <row r="534">
      <c r="A534" t="inlineStr">
        <is>
          <t>Home Blend (Collective)</t>
        </is>
      </c>
      <c r="B534" t="inlineStr">
        <is>
          <t>Mont Blanc</t>
        </is>
      </c>
      <c r="C534" t="inlineStr">
        <is>
          <t>2026-05</t>
        </is>
      </c>
      <c r="D534" t="inlineStr">
        <is>
          <t>PJ</t>
        </is>
      </c>
      <c r="E534" t="n">
        <v>149</v>
      </c>
      <c r="F534" t="n">
        <v>18</v>
      </c>
      <c r="G534">
        <f>E534*F534</f>
        <v/>
      </c>
    </row>
    <row r="535">
      <c r="A535" t="inlineStr">
        <is>
          <t>Home Blend (Collective)</t>
        </is>
      </c>
      <c r="B535" t="inlineStr">
        <is>
          <t>Mont Blanc</t>
        </is>
      </c>
      <c r="C535" t="inlineStr">
        <is>
          <t>2026-05</t>
        </is>
      </c>
      <c r="D535" t="inlineStr">
        <is>
          <t>SA</t>
        </is>
      </c>
      <c r="E535" t="n">
        <v>224</v>
      </c>
      <c r="F535" t="n">
        <v>18</v>
      </c>
      <c r="G535">
        <f>E535*F535</f>
        <v/>
      </c>
    </row>
    <row r="536">
      <c r="A536" t="inlineStr">
        <is>
          <t>Home Blend (Collective)</t>
        </is>
      </c>
      <c r="B536" t="inlineStr">
        <is>
          <t>Mont Blanc</t>
        </is>
      </c>
      <c r="C536" t="inlineStr">
        <is>
          <t>2026-05</t>
        </is>
      </c>
      <c r="D536" t="inlineStr">
        <is>
          <t>TAM</t>
        </is>
      </c>
      <c r="E536" t="n">
        <v>148</v>
      </c>
      <c r="F536" t="n">
        <v>18</v>
      </c>
      <c r="G536">
        <f>E536*F536</f>
        <v/>
      </c>
    </row>
    <row r="537">
      <c r="A537" t="inlineStr">
        <is>
          <t>Home Blend (Collective)</t>
        </is>
      </c>
      <c r="B537" t="inlineStr">
        <is>
          <t>Mont Blanc</t>
        </is>
      </c>
      <c r="C537" t="inlineStr">
        <is>
          <t>2026-06</t>
        </is>
      </c>
      <c r="D537" t="inlineStr">
        <is>
          <t>PJ</t>
        </is>
      </c>
      <c r="E537" t="n">
        <v>135</v>
      </c>
      <c r="F537" t="n">
        <v>18</v>
      </c>
      <c r="G537">
        <f>E537*F537</f>
        <v/>
      </c>
    </row>
    <row r="538">
      <c r="A538" t="inlineStr">
        <is>
          <t>Home Blend (Collective)</t>
        </is>
      </c>
      <c r="B538" t="inlineStr">
        <is>
          <t>Mont Blanc</t>
        </is>
      </c>
      <c r="C538" t="inlineStr">
        <is>
          <t>2026-06</t>
        </is>
      </c>
      <c r="D538" t="inlineStr">
        <is>
          <t>SA</t>
        </is>
      </c>
      <c r="E538" t="n">
        <v>208</v>
      </c>
      <c r="F538" t="n">
        <v>18</v>
      </c>
      <c r="G538">
        <f>E538*F538</f>
        <v/>
      </c>
    </row>
    <row r="539">
      <c r="A539" t="inlineStr">
        <is>
          <t>Home Blend (Collective)</t>
        </is>
      </c>
      <c r="B539" t="inlineStr">
        <is>
          <t>Mont Blanc</t>
        </is>
      </c>
      <c r="C539" t="inlineStr">
        <is>
          <t>2026-06</t>
        </is>
      </c>
      <c r="D539" t="inlineStr">
        <is>
          <t>TAM</t>
        </is>
      </c>
      <c r="E539" t="n">
        <v>148</v>
      </c>
      <c r="F539" t="n">
        <v>18</v>
      </c>
      <c r="G539">
        <f>E539*F539</f>
        <v/>
      </c>
    </row>
    <row r="540">
      <c r="A540" t="inlineStr">
        <is>
          <t>Home Blend (Collective)</t>
        </is>
      </c>
      <c r="B540" t="inlineStr">
        <is>
          <t>Mont Blanc</t>
        </is>
      </c>
      <c r="C540" t="inlineStr">
        <is>
          <t>2026-07</t>
        </is>
      </c>
      <c r="D540" t="inlineStr">
        <is>
          <t>PJ</t>
        </is>
      </c>
      <c r="E540" t="n">
        <v>124</v>
      </c>
      <c r="F540" t="n">
        <v>18</v>
      </c>
      <c r="G540">
        <f>E540*F540</f>
        <v/>
      </c>
    </row>
    <row r="541">
      <c r="A541" t="inlineStr">
        <is>
          <t>Home Blend (Collective)</t>
        </is>
      </c>
      <c r="B541" t="inlineStr">
        <is>
          <t>Mont Blanc</t>
        </is>
      </c>
      <c r="C541" t="inlineStr">
        <is>
          <t>2026-07</t>
        </is>
      </c>
      <c r="D541" t="inlineStr">
        <is>
          <t>SA</t>
        </is>
      </c>
      <c r="E541" t="n">
        <v>181</v>
      </c>
      <c r="F541" t="n">
        <v>18</v>
      </c>
      <c r="G541">
        <f>E541*F541</f>
        <v/>
      </c>
    </row>
    <row r="542">
      <c r="A542" t="inlineStr">
        <is>
          <t>Home Blend (Collective)</t>
        </is>
      </c>
      <c r="B542" t="inlineStr">
        <is>
          <t>Mont Blanc</t>
        </is>
      </c>
      <c r="C542" t="inlineStr">
        <is>
          <t>2026-07</t>
        </is>
      </c>
      <c r="D542" t="inlineStr">
        <is>
          <t>TAM</t>
        </is>
      </c>
      <c r="E542" t="n">
        <v>117</v>
      </c>
      <c r="F542" t="n">
        <v>18</v>
      </c>
      <c r="G542">
        <f>E542*F542</f>
        <v/>
      </c>
    </row>
    <row r="543">
      <c r="A543" t="inlineStr">
        <is>
          <t>Home Blend (Collective)</t>
        </is>
      </c>
      <c r="B543" t="inlineStr">
        <is>
          <t>Peanut Butter Mocha</t>
        </is>
      </c>
      <c r="C543" t="inlineStr">
        <is>
          <t>2026-04</t>
        </is>
      </c>
      <c r="D543" t="inlineStr">
        <is>
          <t>PJ</t>
        </is>
      </c>
      <c r="E543" t="n">
        <v>66</v>
      </c>
      <c r="F543" t="n">
        <v>18</v>
      </c>
      <c r="G543">
        <f>E543*F543</f>
        <v/>
      </c>
    </row>
    <row r="544">
      <c r="A544" t="inlineStr">
        <is>
          <t>Home Blend (Collective)</t>
        </is>
      </c>
      <c r="B544" t="inlineStr">
        <is>
          <t>Peanut Butter Mocha</t>
        </is>
      </c>
      <c r="C544" t="inlineStr">
        <is>
          <t>2026-04</t>
        </is>
      </c>
      <c r="D544" t="inlineStr">
        <is>
          <t>SA</t>
        </is>
      </c>
      <c r="E544" t="n">
        <v>54</v>
      </c>
      <c r="F544" t="n">
        <v>18</v>
      </c>
      <c r="G544">
        <f>E544*F544</f>
        <v/>
      </c>
    </row>
    <row r="545">
      <c r="A545" t="inlineStr">
        <is>
          <t>Home Blend (Collective)</t>
        </is>
      </c>
      <c r="B545" t="inlineStr">
        <is>
          <t>Peanut Butter Mocha</t>
        </is>
      </c>
      <c r="C545" t="inlineStr">
        <is>
          <t>2026-04</t>
        </is>
      </c>
      <c r="D545" t="inlineStr">
        <is>
          <t>TAM</t>
        </is>
      </c>
      <c r="E545" t="n">
        <v>59</v>
      </c>
      <c r="F545" t="n">
        <v>18</v>
      </c>
      <c r="G545">
        <f>E545*F545</f>
        <v/>
      </c>
    </row>
    <row r="546">
      <c r="A546" t="inlineStr">
        <is>
          <t>Home Blend (Collective)</t>
        </is>
      </c>
      <c r="B546" t="inlineStr">
        <is>
          <t>Peanut Butter Mocha</t>
        </is>
      </c>
      <c r="C546" t="inlineStr">
        <is>
          <t>2026-05</t>
        </is>
      </c>
      <c r="D546" t="inlineStr">
        <is>
          <t>PJ</t>
        </is>
      </c>
      <c r="E546" t="n">
        <v>78</v>
      </c>
      <c r="F546" t="n">
        <v>18</v>
      </c>
      <c r="G546">
        <f>E546*F546</f>
        <v/>
      </c>
    </row>
    <row r="547">
      <c r="A547" t="inlineStr">
        <is>
          <t>Home Blend (Collective)</t>
        </is>
      </c>
      <c r="B547" t="inlineStr">
        <is>
          <t>Peanut Butter Mocha</t>
        </is>
      </c>
      <c r="C547" t="inlineStr">
        <is>
          <t>2026-05</t>
        </is>
      </c>
      <c r="D547" t="inlineStr">
        <is>
          <t>SA</t>
        </is>
      </c>
      <c r="E547" t="n">
        <v>77</v>
      </c>
      <c r="F547" t="n">
        <v>18</v>
      </c>
      <c r="G547">
        <f>E547*F547</f>
        <v/>
      </c>
    </row>
    <row r="548">
      <c r="A548" t="inlineStr">
        <is>
          <t>Home Blend (Collective)</t>
        </is>
      </c>
      <c r="B548" t="inlineStr">
        <is>
          <t>Peanut Butter Mocha</t>
        </is>
      </c>
      <c r="C548" t="inlineStr">
        <is>
          <t>2026-05</t>
        </is>
      </c>
      <c r="D548" t="inlineStr">
        <is>
          <t>TAM</t>
        </is>
      </c>
      <c r="E548" t="n">
        <v>53</v>
      </c>
      <c r="F548" t="n">
        <v>18</v>
      </c>
      <c r="G548">
        <f>E548*F548</f>
        <v/>
      </c>
    </row>
    <row r="549">
      <c r="A549" t="inlineStr">
        <is>
          <t>Home Blend (Collective)</t>
        </is>
      </c>
      <c r="B549" t="inlineStr">
        <is>
          <t>Peanut Butter Mocha</t>
        </is>
      </c>
      <c r="C549" t="inlineStr">
        <is>
          <t>2026-06</t>
        </is>
      </c>
      <c r="D549" t="inlineStr">
        <is>
          <t>PJ</t>
        </is>
      </c>
      <c r="E549" t="n">
        <v>42</v>
      </c>
      <c r="F549" t="n">
        <v>18</v>
      </c>
      <c r="G549">
        <f>E549*F549</f>
        <v/>
      </c>
    </row>
    <row r="550">
      <c r="A550" t="inlineStr">
        <is>
          <t>Home Blend (Collective)</t>
        </is>
      </c>
      <c r="B550" t="inlineStr">
        <is>
          <t>Peanut Butter Mocha</t>
        </is>
      </c>
      <c r="C550" t="inlineStr">
        <is>
          <t>2026-06</t>
        </is>
      </c>
      <c r="D550" t="inlineStr">
        <is>
          <t>SA</t>
        </is>
      </c>
      <c r="E550" t="n">
        <v>36</v>
      </c>
      <c r="F550" t="n">
        <v>18</v>
      </c>
      <c r="G550">
        <f>E550*F550</f>
        <v/>
      </c>
    </row>
    <row r="551">
      <c r="A551" t="inlineStr">
        <is>
          <t>Home Blend (Collective)</t>
        </is>
      </c>
      <c r="B551" t="inlineStr">
        <is>
          <t>Peanut Butter Mocha</t>
        </is>
      </c>
      <c r="C551" t="inlineStr">
        <is>
          <t>2026-06</t>
        </is>
      </c>
      <c r="D551" t="inlineStr">
        <is>
          <t>TAM</t>
        </is>
      </c>
      <c r="E551" t="n">
        <v>52</v>
      </c>
      <c r="F551" t="n">
        <v>18</v>
      </c>
      <c r="G551">
        <f>E551*F551</f>
        <v/>
      </c>
    </row>
    <row r="552">
      <c r="A552" t="inlineStr">
        <is>
          <t>Home Blend (Collective)</t>
        </is>
      </c>
      <c r="B552" t="inlineStr">
        <is>
          <t>Peanut Butter Mocha</t>
        </is>
      </c>
      <c r="C552" t="inlineStr">
        <is>
          <t>2026-07</t>
        </is>
      </c>
      <c r="D552" t="inlineStr">
        <is>
          <t>PJ</t>
        </is>
      </c>
      <c r="E552" t="n">
        <v>18</v>
      </c>
      <c r="F552" t="n">
        <v>18</v>
      </c>
      <c r="G552">
        <f>E552*F552</f>
        <v/>
      </c>
    </row>
    <row r="553">
      <c r="A553" t="inlineStr">
        <is>
          <t>Home Blend (Collective)</t>
        </is>
      </c>
      <c r="B553" t="inlineStr">
        <is>
          <t>Peanut Butter Mocha</t>
        </is>
      </c>
      <c r="C553" t="inlineStr">
        <is>
          <t>2026-07</t>
        </is>
      </c>
      <c r="D553" t="inlineStr">
        <is>
          <t>SA</t>
        </is>
      </c>
      <c r="E553" t="n">
        <v>43</v>
      </c>
      <c r="F553" t="n">
        <v>18</v>
      </c>
      <c r="G553">
        <f>E553*F553</f>
        <v/>
      </c>
    </row>
    <row r="554">
      <c r="A554" t="inlineStr">
        <is>
          <t>Home Blend (Collective)</t>
        </is>
      </c>
      <c r="B554" t="inlineStr">
        <is>
          <t>Peanut Butter Mocha</t>
        </is>
      </c>
      <c r="C554" t="inlineStr">
        <is>
          <t>2026-07</t>
        </is>
      </c>
      <c r="D554" t="inlineStr">
        <is>
          <t>TAM</t>
        </is>
      </c>
      <c r="E554" t="n">
        <v>42</v>
      </c>
      <c r="F554" t="n">
        <v>18</v>
      </c>
      <c r="G554">
        <f>E554*F554</f>
        <v/>
      </c>
    </row>
    <row r="555">
      <c r="A555" t="inlineStr">
        <is>
          <t>Home Blend (Collective)</t>
        </is>
      </c>
      <c r="B555" t="inlineStr">
        <is>
          <t>Piccolo</t>
        </is>
      </c>
      <c r="C555" t="inlineStr">
        <is>
          <t>2026-04</t>
        </is>
      </c>
      <c r="D555" t="inlineStr">
        <is>
          <t>PJ</t>
        </is>
      </c>
      <c r="E555" t="n">
        <v>75</v>
      </c>
      <c r="F555" t="n">
        <v>18</v>
      </c>
      <c r="G555">
        <f>E555*F555</f>
        <v/>
      </c>
    </row>
    <row r="556">
      <c r="A556" t="inlineStr">
        <is>
          <t>Home Blend (Collective)</t>
        </is>
      </c>
      <c r="B556" t="inlineStr">
        <is>
          <t>Piccolo</t>
        </is>
      </c>
      <c r="C556" t="inlineStr">
        <is>
          <t>2026-04</t>
        </is>
      </c>
      <c r="D556" t="inlineStr">
        <is>
          <t>SA</t>
        </is>
      </c>
      <c r="E556" t="n">
        <v>38</v>
      </c>
      <c r="F556" t="n">
        <v>18</v>
      </c>
      <c r="G556">
        <f>E556*F556</f>
        <v/>
      </c>
    </row>
    <row r="557">
      <c r="A557" t="inlineStr">
        <is>
          <t>Home Blend (Collective)</t>
        </is>
      </c>
      <c r="B557" t="inlineStr">
        <is>
          <t>Piccolo</t>
        </is>
      </c>
      <c r="C557" t="inlineStr">
        <is>
          <t>2026-04</t>
        </is>
      </c>
      <c r="D557" t="inlineStr">
        <is>
          <t>TAM</t>
        </is>
      </c>
      <c r="E557" t="n">
        <v>64</v>
      </c>
      <c r="F557" t="n">
        <v>18</v>
      </c>
      <c r="G557">
        <f>E557*F557</f>
        <v/>
      </c>
    </row>
    <row r="558">
      <c r="A558" t="inlineStr">
        <is>
          <t>Home Blend (Collective)</t>
        </is>
      </c>
      <c r="B558" t="inlineStr">
        <is>
          <t>Piccolo</t>
        </is>
      </c>
      <c r="C558" t="inlineStr">
        <is>
          <t>2026-05</t>
        </is>
      </c>
      <c r="D558" t="inlineStr">
        <is>
          <t>PJ</t>
        </is>
      </c>
      <c r="E558" t="n">
        <v>75</v>
      </c>
      <c r="F558" t="n">
        <v>18</v>
      </c>
      <c r="G558">
        <f>E558*F558</f>
        <v/>
      </c>
    </row>
    <row r="559">
      <c r="A559" t="inlineStr">
        <is>
          <t>Home Blend (Collective)</t>
        </is>
      </c>
      <c r="B559" t="inlineStr">
        <is>
          <t>Piccolo</t>
        </is>
      </c>
      <c r="C559" t="inlineStr">
        <is>
          <t>2026-05</t>
        </is>
      </c>
      <c r="D559" t="inlineStr">
        <is>
          <t>SA</t>
        </is>
      </c>
      <c r="E559" t="n">
        <v>41</v>
      </c>
      <c r="F559" t="n">
        <v>18</v>
      </c>
      <c r="G559">
        <f>E559*F559</f>
        <v/>
      </c>
    </row>
    <row r="560">
      <c r="A560" t="inlineStr">
        <is>
          <t>Home Blend (Collective)</t>
        </is>
      </c>
      <c r="B560" t="inlineStr">
        <is>
          <t>Piccolo</t>
        </is>
      </c>
      <c r="C560" t="inlineStr">
        <is>
          <t>2026-05</t>
        </is>
      </c>
      <c r="D560" t="inlineStr">
        <is>
          <t>TAM</t>
        </is>
      </c>
      <c r="E560" t="n">
        <v>54</v>
      </c>
      <c r="F560" t="n">
        <v>18</v>
      </c>
      <c r="G560">
        <f>E560*F560</f>
        <v/>
      </c>
    </row>
    <row r="561">
      <c r="A561" t="inlineStr">
        <is>
          <t>Home Blend (Collective)</t>
        </is>
      </c>
      <c r="B561" t="inlineStr">
        <is>
          <t>Piccolo</t>
        </is>
      </c>
      <c r="C561" t="inlineStr">
        <is>
          <t>2026-06</t>
        </is>
      </c>
      <c r="D561" t="inlineStr">
        <is>
          <t>PJ</t>
        </is>
      </c>
      <c r="E561" t="n">
        <v>60</v>
      </c>
      <c r="F561" t="n">
        <v>18</v>
      </c>
      <c r="G561">
        <f>E561*F561</f>
        <v/>
      </c>
    </row>
    <row r="562">
      <c r="A562" t="inlineStr">
        <is>
          <t>Home Blend (Collective)</t>
        </is>
      </c>
      <c r="B562" t="inlineStr">
        <is>
          <t>Piccolo</t>
        </is>
      </c>
      <c r="C562" t="inlineStr">
        <is>
          <t>2026-06</t>
        </is>
      </c>
      <c r="D562" t="inlineStr">
        <is>
          <t>SA</t>
        </is>
      </c>
      <c r="E562" t="n">
        <v>36</v>
      </c>
      <c r="F562" t="n">
        <v>18</v>
      </c>
      <c r="G562">
        <f>E562*F562</f>
        <v/>
      </c>
    </row>
    <row r="563">
      <c r="A563" t="inlineStr">
        <is>
          <t>Home Blend (Collective)</t>
        </is>
      </c>
      <c r="B563" t="inlineStr">
        <is>
          <t>Piccolo</t>
        </is>
      </c>
      <c r="C563" t="inlineStr">
        <is>
          <t>2026-06</t>
        </is>
      </c>
      <c r="D563" t="inlineStr">
        <is>
          <t>TAM</t>
        </is>
      </c>
      <c r="E563" t="n">
        <v>51</v>
      </c>
      <c r="F563" t="n">
        <v>18</v>
      </c>
      <c r="G563">
        <f>E563*F563</f>
        <v/>
      </c>
    </row>
    <row r="564">
      <c r="A564" t="inlineStr">
        <is>
          <t>Home Blend (Collective)</t>
        </is>
      </c>
      <c r="B564" t="inlineStr">
        <is>
          <t>Piccolo</t>
        </is>
      </c>
      <c r="C564" t="inlineStr">
        <is>
          <t>2026-07</t>
        </is>
      </c>
      <c r="D564" t="inlineStr">
        <is>
          <t>PJ</t>
        </is>
      </c>
      <c r="E564" t="n">
        <v>35</v>
      </c>
      <c r="F564" t="n">
        <v>18</v>
      </c>
      <c r="G564">
        <f>E564*F564</f>
        <v/>
      </c>
    </row>
    <row r="565">
      <c r="A565" t="inlineStr">
        <is>
          <t>Home Blend (Collective)</t>
        </is>
      </c>
      <c r="B565" t="inlineStr">
        <is>
          <t>Piccolo</t>
        </is>
      </c>
      <c r="C565" t="inlineStr">
        <is>
          <t>2026-07</t>
        </is>
      </c>
      <c r="D565" t="inlineStr">
        <is>
          <t>SA</t>
        </is>
      </c>
      <c r="E565" t="n">
        <v>24</v>
      </c>
      <c r="F565" t="n">
        <v>18</v>
      </c>
      <c r="G565">
        <f>E565*F565</f>
        <v/>
      </c>
    </row>
    <row r="566">
      <c r="A566" t="inlineStr">
        <is>
          <t>Home Blend (Collective)</t>
        </is>
      </c>
      <c r="B566" t="inlineStr">
        <is>
          <t>Piccolo</t>
        </is>
      </c>
      <c r="C566" t="inlineStr">
        <is>
          <t>2026-07</t>
        </is>
      </c>
      <c r="D566" t="inlineStr">
        <is>
          <t>TAM</t>
        </is>
      </c>
      <c r="E566" t="n">
        <v>30</v>
      </c>
      <c r="F566" t="n">
        <v>18</v>
      </c>
      <c r="G566">
        <f>E566*F566</f>
        <v/>
      </c>
    </row>
    <row r="567">
      <c r="A567" t="inlineStr">
        <is>
          <t>Home Blend (Collective)</t>
        </is>
      </c>
      <c r="B567" t="inlineStr">
        <is>
          <t>Salted Caramel Latte</t>
        </is>
      </c>
      <c r="C567" t="inlineStr">
        <is>
          <t>2026-04</t>
        </is>
      </c>
      <c r="D567" t="inlineStr">
        <is>
          <t>PJ</t>
        </is>
      </c>
      <c r="E567" t="n">
        <v>121</v>
      </c>
      <c r="F567" t="n">
        <v>18</v>
      </c>
      <c r="G567">
        <f>E567*F567</f>
        <v/>
      </c>
    </row>
    <row r="568">
      <c r="A568" t="inlineStr">
        <is>
          <t>Home Blend (Collective)</t>
        </is>
      </c>
      <c r="B568" t="inlineStr">
        <is>
          <t>Salted Caramel Latte</t>
        </is>
      </c>
      <c r="C568" t="inlineStr">
        <is>
          <t>2026-04</t>
        </is>
      </c>
      <c r="D568" t="inlineStr">
        <is>
          <t>SA</t>
        </is>
      </c>
      <c r="E568" t="n">
        <v>100</v>
      </c>
      <c r="F568" t="n">
        <v>18</v>
      </c>
      <c r="G568">
        <f>E568*F568</f>
        <v/>
      </c>
    </row>
    <row r="569">
      <c r="A569" t="inlineStr">
        <is>
          <t>Home Blend (Collective)</t>
        </is>
      </c>
      <c r="B569" t="inlineStr">
        <is>
          <t>Salted Caramel Latte</t>
        </is>
      </c>
      <c r="C569" t="inlineStr">
        <is>
          <t>2026-04</t>
        </is>
      </c>
      <c r="D569" t="inlineStr">
        <is>
          <t>TAM</t>
        </is>
      </c>
      <c r="E569" t="n">
        <v>125</v>
      </c>
      <c r="F569" t="n">
        <v>18</v>
      </c>
      <c r="G569">
        <f>E569*F569</f>
        <v/>
      </c>
    </row>
    <row r="570">
      <c r="A570" t="inlineStr">
        <is>
          <t>Home Blend (Collective)</t>
        </is>
      </c>
      <c r="B570" t="inlineStr">
        <is>
          <t>Salted Caramel Latte</t>
        </is>
      </c>
      <c r="C570" t="inlineStr">
        <is>
          <t>2026-05</t>
        </is>
      </c>
      <c r="D570" t="inlineStr">
        <is>
          <t>PJ</t>
        </is>
      </c>
      <c r="E570" t="n">
        <v>144</v>
      </c>
      <c r="F570" t="n">
        <v>18</v>
      </c>
      <c r="G570">
        <f>E570*F570</f>
        <v/>
      </c>
    </row>
    <row r="571">
      <c r="A571" t="inlineStr">
        <is>
          <t>Home Blend (Collective)</t>
        </is>
      </c>
      <c r="B571" t="inlineStr">
        <is>
          <t>Salted Caramel Latte</t>
        </is>
      </c>
      <c r="C571" t="inlineStr">
        <is>
          <t>2026-05</t>
        </is>
      </c>
      <c r="D571" t="inlineStr">
        <is>
          <t>SA</t>
        </is>
      </c>
      <c r="E571" t="n">
        <v>107</v>
      </c>
      <c r="F571" t="n">
        <v>18</v>
      </c>
      <c r="G571">
        <f>E571*F571</f>
        <v/>
      </c>
    </row>
    <row r="572">
      <c r="A572" t="inlineStr">
        <is>
          <t>Home Blend (Collective)</t>
        </is>
      </c>
      <c r="B572" t="inlineStr">
        <is>
          <t>Salted Caramel Latte</t>
        </is>
      </c>
      <c r="C572" t="inlineStr">
        <is>
          <t>2026-05</t>
        </is>
      </c>
      <c r="D572" t="inlineStr">
        <is>
          <t>TAM</t>
        </is>
      </c>
      <c r="E572" t="n">
        <v>87</v>
      </c>
      <c r="F572" t="n">
        <v>18</v>
      </c>
      <c r="G572">
        <f>E572*F572</f>
        <v/>
      </c>
    </row>
    <row r="573">
      <c r="A573" t="inlineStr">
        <is>
          <t>Home Blend (Collective)</t>
        </is>
      </c>
      <c r="B573" t="inlineStr">
        <is>
          <t>Salted Caramel Latte</t>
        </is>
      </c>
      <c r="C573" t="inlineStr">
        <is>
          <t>2026-06</t>
        </is>
      </c>
      <c r="D573" t="inlineStr">
        <is>
          <t>PJ</t>
        </is>
      </c>
      <c r="E573" t="n">
        <v>92</v>
      </c>
      <c r="F573" t="n">
        <v>18</v>
      </c>
      <c r="G573">
        <f>E573*F573</f>
        <v/>
      </c>
    </row>
    <row r="574">
      <c r="A574" t="inlineStr">
        <is>
          <t>Home Blend (Collective)</t>
        </is>
      </c>
      <c r="B574" t="inlineStr">
        <is>
          <t>Salted Caramel Latte</t>
        </is>
      </c>
      <c r="C574" t="inlineStr">
        <is>
          <t>2026-06</t>
        </is>
      </c>
      <c r="D574" t="inlineStr">
        <is>
          <t>SA</t>
        </is>
      </c>
      <c r="E574" t="n">
        <v>98</v>
      </c>
      <c r="F574" t="n">
        <v>18</v>
      </c>
      <c r="G574">
        <f>E574*F574</f>
        <v/>
      </c>
    </row>
    <row r="575">
      <c r="A575" t="inlineStr">
        <is>
          <t>Home Blend (Collective)</t>
        </is>
      </c>
      <c r="B575" t="inlineStr">
        <is>
          <t>Salted Caramel Latte</t>
        </is>
      </c>
      <c r="C575" t="inlineStr">
        <is>
          <t>2026-06</t>
        </is>
      </c>
      <c r="D575" t="inlineStr">
        <is>
          <t>TAM</t>
        </is>
      </c>
      <c r="E575" t="n">
        <v>91</v>
      </c>
      <c r="F575" t="n">
        <v>18</v>
      </c>
      <c r="G575">
        <f>E575*F575</f>
        <v/>
      </c>
    </row>
    <row r="576">
      <c r="A576" t="inlineStr">
        <is>
          <t>Home Blend (Collective)</t>
        </is>
      </c>
      <c r="B576" t="inlineStr">
        <is>
          <t>Salted Caramel Latte</t>
        </is>
      </c>
      <c r="C576" t="inlineStr">
        <is>
          <t>2026-07</t>
        </is>
      </c>
      <c r="D576" t="inlineStr">
        <is>
          <t>PJ</t>
        </is>
      </c>
      <c r="E576" t="n">
        <v>87</v>
      </c>
      <c r="F576" t="n">
        <v>18</v>
      </c>
      <c r="G576">
        <f>E576*F576</f>
        <v/>
      </c>
    </row>
    <row r="577">
      <c r="A577" t="inlineStr">
        <is>
          <t>Home Blend (Collective)</t>
        </is>
      </c>
      <c r="B577" t="inlineStr">
        <is>
          <t>Salted Caramel Latte</t>
        </is>
      </c>
      <c r="C577" t="inlineStr">
        <is>
          <t>2026-07</t>
        </is>
      </c>
      <c r="D577" t="inlineStr">
        <is>
          <t>SA</t>
        </is>
      </c>
      <c r="E577" t="n">
        <v>62</v>
      </c>
      <c r="F577" t="n">
        <v>18</v>
      </c>
      <c r="G577">
        <f>E577*F577</f>
        <v/>
      </c>
    </row>
    <row r="578">
      <c r="A578" t="inlineStr">
        <is>
          <t>Home Blend (Collective)</t>
        </is>
      </c>
      <c r="B578" t="inlineStr">
        <is>
          <t>Salted Caramel Latte</t>
        </is>
      </c>
      <c r="C578" t="inlineStr">
        <is>
          <t>2026-07</t>
        </is>
      </c>
      <c r="D578" t="inlineStr">
        <is>
          <t>TAM</t>
        </is>
      </c>
      <c r="E578" t="n">
        <v>78</v>
      </c>
      <c r="F578" t="n">
        <v>18</v>
      </c>
      <c r="G578">
        <f>E578*F578</f>
        <v/>
      </c>
    </row>
    <row r="579">
      <c r="A579" t="inlineStr">
        <is>
          <t>Home Blend (Collective)</t>
        </is>
      </c>
      <c r="B579" t="inlineStr">
        <is>
          <t>Spanish Latte</t>
        </is>
      </c>
      <c r="C579" t="inlineStr">
        <is>
          <t>2026-04</t>
        </is>
      </c>
      <c r="D579" t="inlineStr">
        <is>
          <t>PJ</t>
        </is>
      </c>
      <c r="E579" t="n">
        <v>321</v>
      </c>
      <c r="F579" t="n">
        <v>18</v>
      </c>
      <c r="G579">
        <f>E579*F579</f>
        <v/>
      </c>
    </row>
    <row r="580">
      <c r="A580" t="inlineStr">
        <is>
          <t>Home Blend (Collective)</t>
        </is>
      </c>
      <c r="B580" t="inlineStr">
        <is>
          <t>Spanish Latte</t>
        </is>
      </c>
      <c r="C580" t="inlineStr">
        <is>
          <t>2026-04</t>
        </is>
      </c>
      <c r="D580" t="inlineStr">
        <is>
          <t>SA</t>
        </is>
      </c>
      <c r="E580" t="n">
        <v>262</v>
      </c>
      <c r="F580" t="n">
        <v>18</v>
      </c>
      <c r="G580">
        <f>E580*F580</f>
        <v/>
      </c>
    </row>
    <row r="581">
      <c r="A581" t="inlineStr">
        <is>
          <t>Home Blend (Collective)</t>
        </is>
      </c>
      <c r="B581" t="inlineStr">
        <is>
          <t>Spanish Latte</t>
        </is>
      </c>
      <c r="C581" t="inlineStr">
        <is>
          <t>2026-04</t>
        </is>
      </c>
      <c r="D581" t="inlineStr">
        <is>
          <t>TAM</t>
        </is>
      </c>
      <c r="E581" t="n">
        <v>234</v>
      </c>
      <c r="F581" t="n">
        <v>18</v>
      </c>
      <c r="G581">
        <f>E581*F581</f>
        <v/>
      </c>
    </row>
    <row r="582">
      <c r="A582" t="inlineStr">
        <is>
          <t>Home Blend (Collective)</t>
        </is>
      </c>
      <c r="B582" t="inlineStr">
        <is>
          <t>Spanish Latte</t>
        </is>
      </c>
      <c r="C582" t="inlineStr">
        <is>
          <t>2026-05</t>
        </is>
      </c>
      <c r="D582" t="inlineStr">
        <is>
          <t>PJ</t>
        </is>
      </c>
      <c r="E582" t="n">
        <v>276</v>
      </c>
      <c r="F582" t="n">
        <v>18</v>
      </c>
      <c r="G582">
        <f>E582*F582</f>
        <v/>
      </c>
    </row>
    <row r="583">
      <c r="A583" t="inlineStr">
        <is>
          <t>Home Blend (Collective)</t>
        </is>
      </c>
      <c r="B583" t="inlineStr">
        <is>
          <t>Spanish Latte</t>
        </is>
      </c>
      <c r="C583" t="inlineStr">
        <is>
          <t>2026-05</t>
        </is>
      </c>
      <c r="D583" t="inlineStr">
        <is>
          <t>SA</t>
        </is>
      </c>
      <c r="E583" t="n">
        <v>230</v>
      </c>
      <c r="F583" t="n">
        <v>18</v>
      </c>
      <c r="G583">
        <f>E583*F583</f>
        <v/>
      </c>
    </row>
    <row r="584">
      <c r="A584" t="inlineStr">
        <is>
          <t>Home Blend (Collective)</t>
        </is>
      </c>
      <c r="B584" t="inlineStr">
        <is>
          <t>Spanish Latte</t>
        </is>
      </c>
      <c r="C584" t="inlineStr">
        <is>
          <t>2026-05</t>
        </is>
      </c>
      <c r="D584" t="inlineStr">
        <is>
          <t>TAM</t>
        </is>
      </c>
      <c r="E584" t="n">
        <v>218</v>
      </c>
      <c r="F584" t="n">
        <v>18</v>
      </c>
      <c r="G584">
        <f>E584*F584</f>
        <v/>
      </c>
    </row>
    <row r="585">
      <c r="A585" t="inlineStr">
        <is>
          <t>Home Blend (Collective)</t>
        </is>
      </c>
      <c r="B585" t="inlineStr">
        <is>
          <t>Spanish Latte</t>
        </is>
      </c>
      <c r="C585" t="inlineStr">
        <is>
          <t>2026-06</t>
        </is>
      </c>
      <c r="D585" t="inlineStr">
        <is>
          <t>PJ</t>
        </is>
      </c>
      <c r="E585" t="n">
        <v>289</v>
      </c>
      <c r="F585" t="n">
        <v>18</v>
      </c>
      <c r="G585">
        <f>E585*F585</f>
        <v/>
      </c>
    </row>
    <row r="586">
      <c r="A586" t="inlineStr">
        <is>
          <t>Home Blend (Collective)</t>
        </is>
      </c>
      <c r="B586" t="inlineStr">
        <is>
          <t>Spanish Latte</t>
        </is>
      </c>
      <c r="C586" t="inlineStr">
        <is>
          <t>2026-06</t>
        </is>
      </c>
      <c r="D586" t="inlineStr">
        <is>
          <t>SA</t>
        </is>
      </c>
      <c r="E586" t="n">
        <v>240</v>
      </c>
      <c r="F586" t="n">
        <v>18</v>
      </c>
      <c r="G586">
        <f>E586*F586</f>
        <v/>
      </c>
    </row>
    <row r="587">
      <c r="A587" t="inlineStr">
        <is>
          <t>Home Blend (Collective)</t>
        </is>
      </c>
      <c r="B587" t="inlineStr">
        <is>
          <t>Spanish Latte</t>
        </is>
      </c>
      <c r="C587" t="inlineStr">
        <is>
          <t>2026-06</t>
        </is>
      </c>
      <c r="D587" t="inlineStr">
        <is>
          <t>TAM</t>
        </is>
      </c>
      <c r="E587" t="n">
        <v>251</v>
      </c>
      <c r="F587" t="n">
        <v>18</v>
      </c>
      <c r="G587">
        <f>E587*F587</f>
        <v/>
      </c>
    </row>
    <row r="588">
      <c r="A588" t="inlineStr">
        <is>
          <t>Home Blend (Collective)</t>
        </is>
      </c>
      <c r="B588" t="inlineStr">
        <is>
          <t>Spanish Latte</t>
        </is>
      </c>
      <c r="C588" t="inlineStr">
        <is>
          <t>2026-07</t>
        </is>
      </c>
      <c r="D588" t="inlineStr">
        <is>
          <t>PJ</t>
        </is>
      </c>
      <c r="E588" t="n">
        <v>256</v>
      </c>
      <c r="F588" t="n">
        <v>18</v>
      </c>
      <c r="G588">
        <f>E588*F588</f>
        <v/>
      </c>
    </row>
    <row r="589">
      <c r="A589" t="inlineStr">
        <is>
          <t>Home Blend (Collective)</t>
        </is>
      </c>
      <c r="B589" t="inlineStr">
        <is>
          <t>Spanish Latte</t>
        </is>
      </c>
      <c r="C589" t="inlineStr">
        <is>
          <t>2026-07</t>
        </is>
      </c>
      <c r="D589" t="inlineStr">
        <is>
          <t>SA</t>
        </is>
      </c>
      <c r="E589" t="n">
        <v>195</v>
      </c>
      <c r="F589" t="n">
        <v>18</v>
      </c>
      <c r="G589">
        <f>E589*F589</f>
        <v/>
      </c>
    </row>
    <row r="590">
      <c r="A590" t="inlineStr">
        <is>
          <t>Home Blend (Collective)</t>
        </is>
      </c>
      <c r="B590" t="inlineStr">
        <is>
          <t>Spanish Latte</t>
        </is>
      </c>
      <c r="C590" t="inlineStr">
        <is>
          <t>2026-07</t>
        </is>
      </c>
      <c r="D590" t="inlineStr">
        <is>
          <t>TAM</t>
        </is>
      </c>
      <c r="E590" t="n">
        <v>215</v>
      </c>
      <c r="F590" t="n">
        <v>18</v>
      </c>
      <c r="G590">
        <f>E590*F590</f>
        <v/>
      </c>
    </row>
    <row r="591">
      <c r="A591" t="inlineStr">
        <is>
          <t>Home Blend (Collective)</t>
        </is>
      </c>
      <c r="B591" t="inlineStr">
        <is>
          <t>Vanilla Latte</t>
        </is>
      </c>
      <c r="C591" t="inlineStr">
        <is>
          <t>2026-04</t>
        </is>
      </c>
      <c r="D591" t="inlineStr">
        <is>
          <t>PJ</t>
        </is>
      </c>
      <c r="E591" t="n">
        <v>115</v>
      </c>
      <c r="F591" t="n">
        <v>18</v>
      </c>
      <c r="G591">
        <f>E591*F591</f>
        <v/>
      </c>
    </row>
    <row r="592">
      <c r="A592" t="inlineStr">
        <is>
          <t>Home Blend (Collective)</t>
        </is>
      </c>
      <c r="B592" t="inlineStr">
        <is>
          <t>Vanilla Latte</t>
        </is>
      </c>
      <c r="C592" t="inlineStr">
        <is>
          <t>2026-04</t>
        </is>
      </c>
      <c r="D592" t="inlineStr">
        <is>
          <t>SA</t>
        </is>
      </c>
      <c r="E592" t="n">
        <v>139</v>
      </c>
      <c r="F592" t="n">
        <v>18</v>
      </c>
      <c r="G592">
        <f>E592*F592</f>
        <v/>
      </c>
    </row>
    <row r="593">
      <c r="A593" t="inlineStr">
        <is>
          <t>Home Blend (Collective)</t>
        </is>
      </c>
      <c r="B593" t="inlineStr">
        <is>
          <t>Vanilla Latte</t>
        </is>
      </c>
      <c r="C593" t="inlineStr">
        <is>
          <t>2026-04</t>
        </is>
      </c>
      <c r="D593" t="inlineStr">
        <is>
          <t>TAM</t>
        </is>
      </c>
      <c r="E593" t="n">
        <v>78</v>
      </c>
      <c r="F593" t="n">
        <v>18</v>
      </c>
      <c r="G593">
        <f>E593*F593</f>
        <v/>
      </c>
    </row>
    <row r="594">
      <c r="A594" t="inlineStr">
        <is>
          <t>Home Blend (Collective)</t>
        </is>
      </c>
      <c r="B594" t="inlineStr">
        <is>
          <t>Vanilla Latte</t>
        </is>
      </c>
      <c r="C594" t="inlineStr">
        <is>
          <t>2026-05</t>
        </is>
      </c>
      <c r="D594" t="inlineStr">
        <is>
          <t>PJ</t>
        </is>
      </c>
      <c r="E594" t="n">
        <v>102</v>
      </c>
      <c r="F594" t="n">
        <v>18</v>
      </c>
      <c r="G594">
        <f>E594*F594</f>
        <v/>
      </c>
    </row>
    <row r="595">
      <c r="A595" t="inlineStr">
        <is>
          <t>Home Blend (Collective)</t>
        </is>
      </c>
      <c r="B595" t="inlineStr">
        <is>
          <t>Vanilla Latte</t>
        </is>
      </c>
      <c r="C595" t="inlineStr">
        <is>
          <t>2026-05</t>
        </is>
      </c>
      <c r="D595" t="inlineStr">
        <is>
          <t>SA</t>
        </is>
      </c>
      <c r="E595" t="n">
        <v>84</v>
      </c>
      <c r="F595" t="n">
        <v>18</v>
      </c>
      <c r="G595">
        <f>E595*F595</f>
        <v/>
      </c>
    </row>
    <row r="596">
      <c r="A596" t="inlineStr">
        <is>
          <t>Home Blend (Collective)</t>
        </is>
      </c>
      <c r="B596" t="inlineStr">
        <is>
          <t>Vanilla Latte</t>
        </is>
      </c>
      <c r="C596" t="inlineStr">
        <is>
          <t>2026-05</t>
        </is>
      </c>
      <c r="D596" t="inlineStr">
        <is>
          <t>TAM</t>
        </is>
      </c>
      <c r="E596" t="n">
        <v>64</v>
      </c>
      <c r="F596" t="n">
        <v>18</v>
      </c>
      <c r="G596">
        <f>E596*F596</f>
        <v/>
      </c>
    </row>
    <row r="597">
      <c r="A597" t="inlineStr">
        <is>
          <t>Home Blend (Collective)</t>
        </is>
      </c>
      <c r="B597" t="inlineStr">
        <is>
          <t>Vanilla Latte</t>
        </is>
      </c>
      <c r="C597" t="inlineStr">
        <is>
          <t>2026-06</t>
        </is>
      </c>
      <c r="D597" t="inlineStr">
        <is>
          <t>PJ</t>
        </is>
      </c>
      <c r="E597" t="n">
        <v>73</v>
      </c>
      <c r="F597" t="n">
        <v>18</v>
      </c>
      <c r="G597">
        <f>E597*F597</f>
        <v/>
      </c>
    </row>
    <row r="598">
      <c r="A598" t="inlineStr">
        <is>
          <t>Home Blend (Collective)</t>
        </is>
      </c>
      <c r="B598" t="inlineStr">
        <is>
          <t>Vanilla Latte</t>
        </is>
      </c>
      <c r="C598" t="inlineStr">
        <is>
          <t>2026-06</t>
        </is>
      </c>
      <c r="D598" t="inlineStr">
        <is>
          <t>SA</t>
        </is>
      </c>
      <c r="E598" t="n">
        <v>60</v>
      </c>
      <c r="F598" t="n">
        <v>18</v>
      </c>
      <c r="G598">
        <f>E598*F598</f>
        <v/>
      </c>
    </row>
    <row r="599">
      <c r="A599" t="inlineStr">
        <is>
          <t>Home Blend (Collective)</t>
        </is>
      </c>
      <c r="B599" t="inlineStr">
        <is>
          <t>Vanilla Latte</t>
        </is>
      </c>
      <c r="C599" t="inlineStr">
        <is>
          <t>2026-06</t>
        </is>
      </c>
      <c r="D599" t="inlineStr">
        <is>
          <t>TAM</t>
        </is>
      </c>
      <c r="E599" t="n">
        <v>68</v>
      </c>
      <c r="F599" t="n">
        <v>18</v>
      </c>
      <c r="G599">
        <f>E599*F599</f>
        <v/>
      </c>
    </row>
    <row r="600">
      <c r="A600" t="inlineStr">
        <is>
          <t>Home Blend (Collective)</t>
        </is>
      </c>
      <c r="B600" t="inlineStr">
        <is>
          <t>Vanilla Latte</t>
        </is>
      </c>
      <c r="C600" t="inlineStr">
        <is>
          <t>2026-07</t>
        </is>
      </c>
      <c r="D600" t="inlineStr">
        <is>
          <t>PJ</t>
        </is>
      </c>
      <c r="E600" t="n">
        <v>64</v>
      </c>
      <c r="F600" t="n">
        <v>18</v>
      </c>
      <c r="G600">
        <f>E600*F600</f>
        <v/>
      </c>
    </row>
    <row r="601">
      <c r="A601" t="inlineStr">
        <is>
          <t>Home Blend (Collective)</t>
        </is>
      </c>
      <c r="B601" t="inlineStr">
        <is>
          <t>Vanilla Latte</t>
        </is>
      </c>
      <c r="C601" t="inlineStr">
        <is>
          <t>2026-07</t>
        </is>
      </c>
      <c r="D601" t="inlineStr">
        <is>
          <t>SA</t>
        </is>
      </c>
      <c r="E601" t="n">
        <v>55</v>
      </c>
      <c r="F601" t="n">
        <v>18</v>
      </c>
      <c r="G601">
        <f>E601*F601</f>
        <v/>
      </c>
    </row>
    <row r="602">
      <c r="A602" t="inlineStr">
        <is>
          <t>Home Blend (Collective)</t>
        </is>
      </c>
      <c r="B602" t="inlineStr">
        <is>
          <t>Vanilla Latte</t>
        </is>
      </c>
      <c r="C602" t="inlineStr">
        <is>
          <t>2026-07</t>
        </is>
      </c>
      <c r="D602" t="inlineStr">
        <is>
          <t>TAM</t>
        </is>
      </c>
      <c r="E602" t="n">
        <v>57</v>
      </c>
      <c r="F602" t="n">
        <v>18</v>
      </c>
      <c r="G602">
        <f>E602*F602</f>
        <v/>
      </c>
    </row>
    <row r="603">
      <c r="A603" t="inlineStr">
        <is>
          <t>Home Blend (Collective)</t>
        </is>
      </c>
      <c r="B603" t="inlineStr">
        <is>
          <t>White Mocha</t>
        </is>
      </c>
      <c r="C603" t="inlineStr">
        <is>
          <t>2026-04</t>
        </is>
      </c>
      <c r="D603" t="inlineStr">
        <is>
          <t>PJ</t>
        </is>
      </c>
      <c r="E603" t="n">
        <v>64</v>
      </c>
      <c r="F603" t="n">
        <v>18</v>
      </c>
      <c r="G603">
        <f>E603*F603</f>
        <v/>
      </c>
    </row>
    <row r="604">
      <c r="A604" t="inlineStr">
        <is>
          <t>Home Blend (Collective)</t>
        </is>
      </c>
      <c r="B604" t="inlineStr">
        <is>
          <t>White Mocha</t>
        </is>
      </c>
      <c r="C604" t="inlineStr">
        <is>
          <t>2026-04</t>
        </is>
      </c>
      <c r="D604" t="inlineStr">
        <is>
          <t>SA</t>
        </is>
      </c>
      <c r="E604" t="n">
        <v>39</v>
      </c>
      <c r="F604" t="n">
        <v>18</v>
      </c>
      <c r="G604">
        <f>E604*F604</f>
        <v/>
      </c>
    </row>
    <row r="605">
      <c r="A605" t="inlineStr">
        <is>
          <t>Home Blend (Collective)</t>
        </is>
      </c>
      <c r="B605" t="inlineStr">
        <is>
          <t>White Mocha</t>
        </is>
      </c>
      <c r="C605" t="inlineStr">
        <is>
          <t>2026-04</t>
        </is>
      </c>
      <c r="D605" t="inlineStr">
        <is>
          <t>TAM</t>
        </is>
      </c>
      <c r="E605" t="n">
        <v>44</v>
      </c>
      <c r="F605" t="n">
        <v>18</v>
      </c>
      <c r="G605">
        <f>E605*F605</f>
        <v/>
      </c>
    </row>
    <row r="606">
      <c r="A606" t="inlineStr">
        <is>
          <t>Home Blend (Collective)</t>
        </is>
      </c>
      <c r="B606" t="inlineStr">
        <is>
          <t>White Mocha</t>
        </is>
      </c>
      <c r="C606" t="inlineStr">
        <is>
          <t>2026-05</t>
        </is>
      </c>
      <c r="D606" t="inlineStr">
        <is>
          <t>PJ</t>
        </is>
      </c>
      <c r="E606" t="n">
        <v>48</v>
      </c>
      <c r="F606" t="n">
        <v>18</v>
      </c>
      <c r="G606">
        <f>E606*F606</f>
        <v/>
      </c>
    </row>
    <row r="607">
      <c r="A607" t="inlineStr">
        <is>
          <t>Home Blend (Collective)</t>
        </is>
      </c>
      <c r="B607" t="inlineStr">
        <is>
          <t>White Mocha</t>
        </is>
      </c>
      <c r="C607" t="inlineStr">
        <is>
          <t>2026-05</t>
        </is>
      </c>
      <c r="D607" t="inlineStr">
        <is>
          <t>SA</t>
        </is>
      </c>
      <c r="E607" t="n">
        <v>36</v>
      </c>
      <c r="F607" t="n">
        <v>18</v>
      </c>
      <c r="G607">
        <f>E607*F607</f>
        <v/>
      </c>
    </row>
    <row r="608">
      <c r="A608" t="inlineStr">
        <is>
          <t>Home Blend (Collective)</t>
        </is>
      </c>
      <c r="B608" t="inlineStr">
        <is>
          <t>White Mocha</t>
        </is>
      </c>
      <c r="C608" t="inlineStr">
        <is>
          <t>2026-05</t>
        </is>
      </c>
      <c r="D608" t="inlineStr">
        <is>
          <t>TAM</t>
        </is>
      </c>
      <c r="E608" t="n">
        <v>33</v>
      </c>
      <c r="F608" t="n">
        <v>18</v>
      </c>
      <c r="G608">
        <f>E608*F608</f>
        <v/>
      </c>
    </row>
    <row r="609">
      <c r="A609" t="inlineStr">
        <is>
          <t>Home Blend (Collective)</t>
        </is>
      </c>
      <c r="B609" t="inlineStr">
        <is>
          <t>White Mocha</t>
        </is>
      </c>
      <c r="C609" t="inlineStr">
        <is>
          <t>2026-06</t>
        </is>
      </c>
      <c r="D609" t="inlineStr">
        <is>
          <t>PJ</t>
        </is>
      </c>
      <c r="E609" t="n">
        <v>33</v>
      </c>
      <c r="F609" t="n">
        <v>18</v>
      </c>
      <c r="G609">
        <f>E609*F609</f>
        <v/>
      </c>
    </row>
    <row r="610">
      <c r="A610" t="inlineStr">
        <is>
          <t>Home Blend (Collective)</t>
        </is>
      </c>
      <c r="B610" t="inlineStr">
        <is>
          <t>White Mocha</t>
        </is>
      </c>
      <c r="C610" t="inlineStr">
        <is>
          <t>2026-06</t>
        </is>
      </c>
      <c r="D610" t="inlineStr">
        <is>
          <t>SA</t>
        </is>
      </c>
      <c r="E610" t="n">
        <v>23</v>
      </c>
      <c r="F610" t="n">
        <v>18</v>
      </c>
      <c r="G610">
        <f>E610*F610</f>
        <v/>
      </c>
    </row>
    <row r="611">
      <c r="A611" t="inlineStr">
        <is>
          <t>Home Blend (Collective)</t>
        </is>
      </c>
      <c r="B611" t="inlineStr">
        <is>
          <t>White Mocha</t>
        </is>
      </c>
      <c r="C611" t="inlineStr">
        <is>
          <t>2026-06</t>
        </is>
      </c>
      <c r="D611" t="inlineStr">
        <is>
          <t>TAM</t>
        </is>
      </c>
      <c r="E611" t="n">
        <v>37</v>
      </c>
      <c r="F611" t="n">
        <v>18</v>
      </c>
      <c r="G611">
        <f>E611*F611</f>
        <v/>
      </c>
    </row>
    <row r="612">
      <c r="A612" t="inlineStr">
        <is>
          <t>Home Blend (Collective)</t>
        </is>
      </c>
      <c r="B612" t="inlineStr">
        <is>
          <t>White Mocha</t>
        </is>
      </c>
      <c r="C612" t="inlineStr">
        <is>
          <t>2026-07</t>
        </is>
      </c>
      <c r="D612" t="inlineStr">
        <is>
          <t>PJ</t>
        </is>
      </c>
      <c r="E612" t="n">
        <v>32</v>
      </c>
      <c r="F612" t="n">
        <v>18</v>
      </c>
      <c r="G612">
        <f>E612*F612</f>
        <v/>
      </c>
    </row>
    <row r="613">
      <c r="A613" t="inlineStr">
        <is>
          <t>Home Blend (Collective)</t>
        </is>
      </c>
      <c r="B613" t="inlineStr">
        <is>
          <t>White Mocha</t>
        </is>
      </c>
      <c r="C613" t="inlineStr">
        <is>
          <t>2026-07</t>
        </is>
      </c>
      <c r="D613" t="inlineStr">
        <is>
          <t>SA</t>
        </is>
      </c>
      <c r="E613" t="n">
        <v>15</v>
      </c>
      <c r="F613" t="n">
        <v>18</v>
      </c>
      <c r="G613">
        <f>E613*F613</f>
        <v/>
      </c>
    </row>
    <row r="614">
      <c r="A614" t="inlineStr">
        <is>
          <t>Home Blend (Collective)</t>
        </is>
      </c>
      <c r="B614" t="inlineStr">
        <is>
          <t>White Mocha</t>
        </is>
      </c>
      <c r="C614" t="inlineStr">
        <is>
          <t>2026-07</t>
        </is>
      </c>
      <c r="D614" t="inlineStr">
        <is>
          <t>TAM</t>
        </is>
      </c>
      <c r="E614" t="n">
        <v>18</v>
      </c>
      <c r="F614" t="n">
        <v>18</v>
      </c>
      <c r="G614">
        <f>E614*F614</f>
        <v/>
      </c>
    </row>
    <row r="615">
      <c r="A615" t="inlineStr">
        <is>
          <t>Pull Lamb</t>
        </is>
      </c>
      <c r="B615" t="inlineStr">
        <is>
          <t>Smoked Pulled Lamb</t>
        </is>
      </c>
      <c r="C615" t="inlineStr">
        <is>
          <t>2026-04</t>
        </is>
      </c>
      <c r="D615" t="inlineStr">
        <is>
          <t>PJ</t>
        </is>
      </c>
      <c r="E615" t="n">
        <v>60</v>
      </c>
      <c r="F615" t="n">
        <v>50</v>
      </c>
      <c r="G615">
        <f>E615*F615</f>
        <v/>
      </c>
    </row>
    <row r="616">
      <c r="A616" t="inlineStr">
        <is>
          <t>Pull Lamb</t>
        </is>
      </c>
      <c r="B616" t="inlineStr">
        <is>
          <t>Smoked Pulled Lamb</t>
        </is>
      </c>
      <c r="C616" t="inlineStr">
        <is>
          <t>2026-04</t>
        </is>
      </c>
      <c r="D616" t="inlineStr">
        <is>
          <t>SA</t>
        </is>
      </c>
      <c r="E616" t="n">
        <v>10</v>
      </c>
      <c r="F616" t="n">
        <v>50</v>
      </c>
      <c r="G616">
        <f>E616*F616</f>
        <v/>
      </c>
    </row>
    <row r="617">
      <c r="A617" t="inlineStr">
        <is>
          <t>Pull Lamb</t>
        </is>
      </c>
      <c r="B617" t="inlineStr">
        <is>
          <t>Smoked Pulled Lamb</t>
        </is>
      </c>
      <c r="C617" t="inlineStr">
        <is>
          <t>2026-04</t>
        </is>
      </c>
      <c r="D617" t="inlineStr">
        <is>
          <t>TAM</t>
        </is>
      </c>
      <c r="E617" t="n">
        <v>17</v>
      </c>
      <c r="F617" t="n">
        <v>50</v>
      </c>
      <c r="G617">
        <f>E617*F617</f>
        <v/>
      </c>
    </row>
    <row r="618">
      <c r="A618" t="inlineStr">
        <is>
          <t>Pull Lamb</t>
        </is>
      </c>
      <c r="B618" t="inlineStr">
        <is>
          <t>Smoked Pulled Lamb</t>
        </is>
      </c>
      <c r="C618" t="inlineStr">
        <is>
          <t>2026-05</t>
        </is>
      </c>
      <c r="D618" t="inlineStr">
        <is>
          <t>PJ</t>
        </is>
      </c>
      <c r="E618" t="n">
        <v>77</v>
      </c>
      <c r="F618" t="n">
        <v>50</v>
      </c>
      <c r="G618">
        <f>E618*F618</f>
        <v/>
      </c>
    </row>
    <row r="619">
      <c r="A619" t="inlineStr">
        <is>
          <t>Pull Lamb</t>
        </is>
      </c>
      <c r="B619" t="inlineStr">
        <is>
          <t>Smoked Pulled Lamb</t>
        </is>
      </c>
      <c r="C619" t="inlineStr">
        <is>
          <t>2026-05</t>
        </is>
      </c>
      <c r="D619" t="inlineStr">
        <is>
          <t>SA</t>
        </is>
      </c>
      <c r="E619" t="n">
        <v>27</v>
      </c>
      <c r="F619" t="n">
        <v>50</v>
      </c>
      <c r="G619">
        <f>E619*F619</f>
        <v/>
      </c>
    </row>
    <row r="620">
      <c r="A620" t="inlineStr">
        <is>
          <t>Pull Lamb</t>
        </is>
      </c>
      <c r="B620" t="inlineStr">
        <is>
          <t>Smoked Pulled Lamb</t>
        </is>
      </c>
      <c r="C620" t="inlineStr">
        <is>
          <t>2026-05</t>
        </is>
      </c>
      <c r="D620" t="inlineStr">
        <is>
          <t>TAM</t>
        </is>
      </c>
      <c r="E620" t="n">
        <v>14</v>
      </c>
      <c r="F620" t="n">
        <v>50</v>
      </c>
      <c r="G620">
        <f>E620*F620</f>
        <v/>
      </c>
    </row>
    <row r="621">
      <c r="A621" t="inlineStr">
        <is>
          <t>Pull Lamb</t>
        </is>
      </c>
      <c r="B621" t="inlineStr">
        <is>
          <t>Smoked Pulled Lamb</t>
        </is>
      </c>
      <c r="C621" t="inlineStr">
        <is>
          <t>2026-06</t>
        </is>
      </c>
      <c r="D621" t="inlineStr">
        <is>
          <t>PJ</t>
        </is>
      </c>
      <c r="E621" t="n">
        <v>33</v>
      </c>
      <c r="F621" t="n">
        <v>50</v>
      </c>
      <c r="G621">
        <f>E621*F621</f>
        <v/>
      </c>
    </row>
    <row r="622">
      <c r="A622" t="inlineStr">
        <is>
          <t>Pull Lamb</t>
        </is>
      </c>
      <c r="B622" t="inlineStr">
        <is>
          <t>Smoked Pulled Lamb</t>
        </is>
      </c>
      <c r="C622" t="inlineStr">
        <is>
          <t>2026-06</t>
        </is>
      </c>
      <c r="D622" t="inlineStr">
        <is>
          <t>SA</t>
        </is>
      </c>
      <c r="E622" t="n">
        <v>21</v>
      </c>
      <c r="F622" t="n">
        <v>50</v>
      </c>
      <c r="G622">
        <f>E622*F622</f>
        <v/>
      </c>
    </row>
    <row r="623">
      <c r="A623" t="inlineStr">
        <is>
          <t>Pull Lamb</t>
        </is>
      </c>
      <c r="B623" t="inlineStr">
        <is>
          <t>Smoked Pulled Lamb</t>
        </is>
      </c>
      <c r="C623" t="inlineStr">
        <is>
          <t>2026-06</t>
        </is>
      </c>
      <c r="D623" t="inlineStr">
        <is>
          <t>TAM</t>
        </is>
      </c>
      <c r="E623" t="n">
        <v>20</v>
      </c>
      <c r="F623" t="n">
        <v>50</v>
      </c>
      <c r="G623">
        <f>E623*F623</f>
        <v/>
      </c>
    </row>
    <row r="624">
      <c r="A624" t="inlineStr">
        <is>
          <t>Pull Lamb</t>
        </is>
      </c>
      <c r="B624" t="inlineStr">
        <is>
          <t>Smoked Pulled Lamb</t>
        </is>
      </c>
      <c r="C624" t="inlineStr">
        <is>
          <t>2026-07</t>
        </is>
      </c>
      <c r="D624" t="inlineStr">
        <is>
          <t>PJ</t>
        </is>
      </c>
      <c r="E624" t="n">
        <v>41</v>
      </c>
      <c r="F624" t="n">
        <v>50</v>
      </c>
      <c r="G624">
        <f>E624*F624</f>
        <v/>
      </c>
    </row>
    <row r="625">
      <c r="A625" t="inlineStr">
        <is>
          <t>Pull Lamb</t>
        </is>
      </c>
      <c r="B625" t="inlineStr">
        <is>
          <t>Smoked Pulled Lamb</t>
        </is>
      </c>
      <c r="C625" t="inlineStr">
        <is>
          <t>2026-07</t>
        </is>
      </c>
      <c r="D625" t="inlineStr">
        <is>
          <t>SA</t>
        </is>
      </c>
      <c r="E625" t="n">
        <v>17</v>
      </c>
      <c r="F625" t="n">
        <v>50</v>
      </c>
      <c r="G625">
        <f>E625*F625</f>
        <v/>
      </c>
    </row>
    <row r="626">
      <c r="A626" t="inlineStr">
        <is>
          <t>Pull Lamb</t>
        </is>
      </c>
      <c r="B626" t="inlineStr">
        <is>
          <t>Smoked Pulled Lamb</t>
        </is>
      </c>
      <c r="C626" t="inlineStr">
        <is>
          <t>2026-07</t>
        </is>
      </c>
      <c r="D626" t="inlineStr">
        <is>
          <t>TAM</t>
        </is>
      </c>
      <c r="E626" t="n">
        <v>9</v>
      </c>
      <c r="F626" t="n">
        <v>50</v>
      </c>
      <c r="G626">
        <f>E626*F626</f>
        <v/>
      </c>
    </row>
    <row r="627">
      <c r="A627" t="inlineStr">
        <is>
          <t>Salted Croissant</t>
        </is>
      </c>
      <c r="B627" t="inlineStr">
        <is>
          <t>Salted Egg Croissant</t>
        </is>
      </c>
      <c r="C627" t="inlineStr">
        <is>
          <t>2026-04</t>
        </is>
      </c>
      <c r="D627" t="inlineStr">
        <is>
          <t>PJ</t>
        </is>
      </c>
      <c r="E627" t="n">
        <v>135</v>
      </c>
      <c r="F627" t="n">
        <v>1</v>
      </c>
      <c r="G627">
        <f>E627*F627</f>
        <v/>
      </c>
    </row>
    <row r="628">
      <c r="A628" t="inlineStr">
        <is>
          <t>Salted Croissant</t>
        </is>
      </c>
      <c r="B628" t="inlineStr">
        <is>
          <t>Salted Egg Croissant</t>
        </is>
      </c>
      <c r="C628" t="inlineStr">
        <is>
          <t>2026-04</t>
        </is>
      </c>
      <c r="D628" t="inlineStr">
        <is>
          <t>SA</t>
        </is>
      </c>
      <c r="E628" t="n">
        <v>125</v>
      </c>
      <c r="F628" t="n">
        <v>1</v>
      </c>
      <c r="G628">
        <f>E628*F628</f>
        <v/>
      </c>
    </row>
    <row r="629">
      <c r="A629" t="inlineStr">
        <is>
          <t>Salted Croissant</t>
        </is>
      </c>
      <c r="B629" t="inlineStr">
        <is>
          <t>Salted Egg Croissant</t>
        </is>
      </c>
      <c r="C629" t="inlineStr">
        <is>
          <t>2026-04</t>
        </is>
      </c>
      <c r="D629" t="inlineStr">
        <is>
          <t>TAM</t>
        </is>
      </c>
      <c r="E629" t="n">
        <v>90</v>
      </c>
      <c r="F629" t="n">
        <v>1</v>
      </c>
      <c r="G629">
        <f>E629*F629</f>
        <v/>
      </c>
    </row>
    <row r="630">
      <c r="A630" t="inlineStr">
        <is>
          <t>Salted Croissant</t>
        </is>
      </c>
      <c r="B630" t="inlineStr">
        <is>
          <t>Salted Egg Croissant</t>
        </is>
      </c>
      <c r="C630" t="inlineStr">
        <is>
          <t>2026-05</t>
        </is>
      </c>
      <c r="D630" t="inlineStr">
        <is>
          <t>PJ</t>
        </is>
      </c>
      <c r="E630" t="n">
        <v>132</v>
      </c>
      <c r="F630" t="n">
        <v>1</v>
      </c>
      <c r="G630">
        <f>E630*F630</f>
        <v/>
      </c>
    </row>
    <row r="631">
      <c r="A631" t="inlineStr">
        <is>
          <t>Salted Croissant</t>
        </is>
      </c>
      <c r="B631" t="inlineStr">
        <is>
          <t>Salted Egg Croissant</t>
        </is>
      </c>
      <c r="C631" t="inlineStr">
        <is>
          <t>2026-05</t>
        </is>
      </c>
      <c r="D631" t="inlineStr">
        <is>
          <t>SA</t>
        </is>
      </c>
      <c r="E631" t="n">
        <v>107</v>
      </c>
      <c r="F631" t="n">
        <v>1</v>
      </c>
      <c r="G631">
        <f>E631*F631</f>
        <v/>
      </c>
    </row>
    <row r="632">
      <c r="A632" t="inlineStr">
        <is>
          <t>Salted Croissant</t>
        </is>
      </c>
      <c r="B632" t="inlineStr">
        <is>
          <t>Salted Egg Croissant</t>
        </is>
      </c>
      <c r="C632" t="inlineStr">
        <is>
          <t>2026-05</t>
        </is>
      </c>
      <c r="D632" t="inlineStr">
        <is>
          <t>TAM</t>
        </is>
      </c>
      <c r="E632" t="n">
        <v>121</v>
      </c>
      <c r="F632" t="n">
        <v>1</v>
      </c>
      <c r="G632">
        <f>E632*F632</f>
        <v/>
      </c>
    </row>
    <row r="633">
      <c r="A633" t="inlineStr">
        <is>
          <t>Salted Croissant</t>
        </is>
      </c>
      <c r="B633" t="inlineStr">
        <is>
          <t>Salted Egg Croissant</t>
        </is>
      </c>
      <c r="C633" t="inlineStr">
        <is>
          <t>2026-06</t>
        </is>
      </c>
      <c r="D633" t="inlineStr">
        <is>
          <t>PJ</t>
        </is>
      </c>
      <c r="E633" t="n">
        <v>105</v>
      </c>
      <c r="F633" t="n">
        <v>1</v>
      </c>
      <c r="G633">
        <f>E633*F633</f>
        <v/>
      </c>
    </row>
    <row r="634">
      <c r="A634" t="inlineStr">
        <is>
          <t>Salted Croissant</t>
        </is>
      </c>
      <c r="B634" t="inlineStr">
        <is>
          <t>Salted Egg Croissant</t>
        </is>
      </c>
      <c r="C634" t="inlineStr">
        <is>
          <t>2026-06</t>
        </is>
      </c>
      <c r="D634" t="inlineStr">
        <is>
          <t>SA</t>
        </is>
      </c>
      <c r="E634" t="n">
        <v>85</v>
      </c>
      <c r="F634" t="n">
        <v>1</v>
      </c>
      <c r="G634">
        <f>E634*F634</f>
        <v/>
      </c>
    </row>
    <row r="635">
      <c r="A635" t="inlineStr">
        <is>
          <t>Salted Croissant</t>
        </is>
      </c>
      <c r="B635" t="inlineStr">
        <is>
          <t>Salted Egg Croissant</t>
        </is>
      </c>
      <c r="C635" t="inlineStr">
        <is>
          <t>2026-06</t>
        </is>
      </c>
      <c r="D635" t="inlineStr">
        <is>
          <t>TAM</t>
        </is>
      </c>
      <c r="E635" t="n">
        <v>67</v>
      </c>
      <c r="F635" t="n">
        <v>1</v>
      </c>
      <c r="G635">
        <f>E635*F635</f>
        <v/>
      </c>
    </row>
    <row r="636">
      <c r="A636" t="inlineStr">
        <is>
          <t>Salted Croissant</t>
        </is>
      </c>
      <c r="B636" t="inlineStr">
        <is>
          <t>Salted Egg Croissant</t>
        </is>
      </c>
      <c r="C636" t="inlineStr">
        <is>
          <t>2026-07</t>
        </is>
      </c>
      <c r="D636" t="inlineStr">
        <is>
          <t>PJ</t>
        </is>
      </c>
      <c r="E636" t="n">
        <v>61</v>
      </c>
      <c r="F636" t="n">
        <v>1</v>
      </c>
      <c r="G636">
        <f>E636*F636</f>
        <v/>
      </c>
    </row>
    <row r="637">
      <c r="A637" t="inlineStr">
        <is>
          <t>Salted Croissant</t>
        </is>
      </c>
      <c r="B637" t="inlineStr">
        <is>
          <t>Salted Egg Croissant</t>
        </is>
      </c>
      <c r="C637" t="inlineStr">
        <is>
          <t>2026-07</t>
        </is>
      </c>
      <c r="D637" t="inlineStr">
        <is>
          <t>SA</t>
        </is>
      </c>
      <c r="E637" t="n">
        <v>51</v>
      </c>
      <c r="F637" t="n">
        <v>1</v>
      </c>
      <c r="G637">
        <f>E637*F637</f>
        <v/>
      </c>
    </row>
    <row r="638">
      <c r="A638" t="inlineStr">
        <is>
          <t>Salted Croissant</t>
        </is>
      </c>
      <c r="B638" t="inlineStr">
        <is>
          <t>Salted Egg Croissant</t>
        </is>
      </c>
      <c r="C638" t="inlineStr">
        <is>
          <t>2026-07</t>
        </is>
      </c>
      <c r="D638" t="inlineStr">
        <is>
          <t>TAM</t>
        </is>
      </c>
      <c r="E638" t="n">
        <v>47</v>
      </c>
      <c r="F638" t="n">
        <v>1</v>
      </c>
      <c r="G638">
        <f>E638*F638</f>
        <v/>
      </c>
    </row>
    <row r="639">
      <c r="A639" t="inlineStr">
        <is>
          <t>Telur Omega</t>
        </is>
      </c>
      <c r="B639" t="inlineStr">
        <is>
          <t>Bihun Kari</t>
        </is>
      </c>
      <c r="C639" t="inlineStr">
        <is>
          <t>2026-04</t>
        </is>
      </c>
      <c r="D639" t="inlineStr">
        <is>
          <t>PJ</t>
        </is>
      </c>
      <c r="E639" t="n">
        <v>11</v>
      </c>
      <c r="F639" t="n">
        <v>0.5</v>
      </c>
      <c r="G639">
        <f>E639*F639</f>
        <v/>
      </c>
    </row>
    <row r="640">
      <c r="A640" t="inlineStr">
        <is>
          <t>Telur Omega</t>
        </is>
      </c>
      <c r="B640" t="inlineStr">
        <is>
          <t>Bihun Kari</t>
        </is>
      </c>
      <c r="C640" t="inlineStr">
        <is>
          <t>2026-04</t>
        </is>
      </c>
      <c r="D640" t="inlineStr">
        <is>
          <t>SA</t>
        </is>
      </c>
      <c r="E640" t="n">
        <v>4</v>
      </c>
      <c r="F640" t="n">
        <v>0.5</v>
      </c>
      <c r="G640">
        <f>E640*F640</f>
        <v/>
      </c>
    </row>
    <row r="641">
      <c r="A641" t="inlineStr">
        <is>
          <t>Telur Omega</t>
        </is>
      </c>
      <c r="B641" t="inlineStr">
        <is>
          <t>Bihun Kari</t>
        </is>
      </c>
      <c r="C641" t="inlineStr">
        <is>
          <t>2026-05</t>
        </is>
      </c>
      <c r="D641" t="inlineStr">
        <is>
          <t>PJ</t>
        </is>
      </c>
      <c r="E641" t="n">
        <v>11</v>
      </c>
      <c r="F641" t="n">
        <v>0.5</v>
      </c>
      <c r="G641">
        <f>E641*F641</f>
        <v/>
      </c>
    </row>
    <row r="642">
      <c r="A642" t="inlineStr">
        <is>
          <t>Telur Omega</t>
        </is>
      </c>
      <c r="B642" t="inlineStr">
        <is>
          <t>Bihun Kari</t>
        </is>
      </c>
      <c r="C642" t="inlineStr">
        <is>
          <t>2026-05</t>
        </is>
      </c>
      <c r="D642" t="inlineStr">
        <is>
          <t>SA</t>
        </is>
      </c>
      <c r="E642" t="n">
        <v>11</v>
      </c>
      <c r="F642" t="n">
        <v>0.5</v>
      </c>
      <c r="G642">
        <f>E642*F642</f>
        <v/>
      </c>
    </row>
    <row r="643">
      <c r="A643" t="inlineStr">
        <is>
          <t>Telur Omega</t>
        </is>
      </c>
      <c r="B643" t="inlineStr">
        <is>
          <t>Bihun Kari</t>
        </is>
      </c>
      <c r="C643" t="inlineStr">
        <is>
          <t>2026-06</t>
        </is>
      </c>
      <c r="D643" t="inlineStr">
        <is>
          <t>PJ</t>
        </is>
      </c>
      <c r="E643" t="n">
        <v>13</v>
      </c>
      <c r="F643" t="n">
        <v>0.5</v>
      </c>
      <c r="G643">
        <f>E643*F643</f>
        <v/>
      </c>
    </row>
    <row r="644">
      <c r="A644" t="inlineStr">
        <is>
          <t>Telur Omega</t>
        </is>
      </c>
      <c r="B644" t="inlineStr">
        <is>
          <t>Bihun Kari</t>
        </is>
      </c>
      <c r="C644" t="inlineStr">
        <is>
          <t>2026-06</t>
        </is>
      </c>
      <c r="D644" t="inlineStr">
        <is>
          <t>SA</t>
        </is>
      </c>
      <c r="E644" t="n">
        <v>7</v>
      </c>
      <c r="F644" t="n">
        <v>0.5</v>
      </c>
      <c r="G644">
        <f>E644*F644</f>
        <v/>
      </c>
    </row>
    <row r="645">
      <c r="A645" t="inlineStr">
        <is>
          <t>Telur Omega</t>
        </is>
      </c>
      <c r="B645" t="inlineStr">
        <is>
          <t>Bihun Kari</t>
        </is>
      </c>
      <c r="C645" t="inlineStr">
        <is>
          <t>2026-07</t>
        </is>
      </c>
      <c r="D645" t="inlineStr">
        <is>
          <t>PJ</t>
        </is>
      </c>
      <c r="E645" t="n">
        <v>13</v>
      </c>
      <c r="F645" t="n">
        <v>0.5</v>
      </c>
      <c r="G645">
        <f>E645*F645</f>
        <v/>
      </c>
    </row>
    <row r="646">
      <c r="A646" t="inlineStr">
        <is>
          <t>Telur Omega</t>
        </is>
      </c>
      <c r="B646" t="inlineStr">
        <is>
          <t>Bihun Kari</t>
        </is>
      </c>
      <c r="C646" t="inlineStr">
        <is>
          <t>2026-07</t>
        </is>
      </c>
      <c r="D646" t="inlineStr">
        <is>
          <t>SA</t>
        </is>
      </c>
      <c r="E646" t="n">
        <v>10</v>
      </c>
      <c r="F646" t="n">
        <v>0.5</v>
      </c>
      <c r="G646">
        <f>E646*F646</f>
        <v/>
      </c>
    </row>
    <row r="647">
      <c r="A647" t="inlineStr">
        <is>
          <t>Telur Omega</t>
        </is>
      </c>
      <c r="B647" t="inlineStr">
        <is>
          <t>Bihun Kari</t>
        </is>
      </c>
      <c r="C647" t="inlineStr">
        <is>
          <t>2026-07</t>
        </is>
      </c>
      <c r="D647" t="inlineStr">
        <is>
          <t>TAM</t>
        </is>
      </c>
      <c r="E647" t="n">
        <v>7</v>
      </c>
      <c r="F647" t="n">
        <v>0.5</v>
      </c>
      <c r="G647">
        <f>E647*F647</f>
        <v/>
      </c>
    </row>
    <row r="648">
      <c r="A648" t="inlineStr">
        <is>
          <t>Telur Omega</t>
        </is>
      </c>
      <c r="B648" t="inlineStr">
        <is>
          <t>Bihun Kari Asam</t>
        </is>
      </c>
      <c r="C648" t="inlineStr">
        <is>
          <t>2026-04</t>
        </is>
      </c>
      <c r="D648" t="inlineStr">
        <is>
          <t>PJ</t>
        </is>
      </c>
      <c r="E648" t="n">
        <v>4</v>
      </c>
      <c r="F648" t="n">
        <v>0.5</v>
      </c>
      <c r="G648">
        <f>E648*F648</f>
        <v/>
      </c>
    </row>
    <row r="649">
      <c r="A649" t="inlineStr">
        <is>
          <t>Telur Omega</t>
        </is>
      </c>
      <c r="B649" t="inlineStr">
        <is>
          <t>Bihun Kari Asam</t>
        </is>
      </c>
      <c r="C649" t="inlineStr">
        <is>
          <t>2026-04</t>
        </is>
      </c>
      <c r="D649" t="inlineStr">
        <is>
          <t>SA</t>
        </is>
      </c>
      <c r="E649" t="n">
        <v>1</v>
      </c>
      <c r="F649" t="n">
        <v>0.5</v>
      </c>
      <c r="G649">
        <f>E649*F649</f>
        <v/>
      </c>
    </row>
    <row r="650">
      <c r="A650" t="inlineStr">
        <is>
          <t>Telur Omega</t>
        </is>
      </c>
      <c r="B650" t="inlineStr">
        <is>
          <t>Bihun Kari Asam</t>
        </is>
      </c>
      <c r="C650" t="inlineStr">
        <is>
          <t>2026-05</t>
        </is>
      </c>
      <c r="D650" t="inlineStr">
        <is>
          <t>PJ</t>
        </is>
      </c>
      <c r="E650" t="n">
        <v>5</v>
      </c>
      <c r="F650" t="n">
        <v>0.5</v>
      </c>
      <c r="G650">
        <f>E650*F650</f>
        <v/>
      </c>
    </row>
    <row r="651">
      <c r="A651" t="inlineStr">
        <is>
          <t>Telur Omega</t>
        </is>
      </c>
      <c r="B651" t="inlineStr">
        <is>
          <t>Bihun Kari Asam</t>
        </is>
      </c>
      <c r="C651" t="inlineStr">
        <is>
          <t>2026-05</t>
        </is>
      </c>
      <c r="D651" t="inlineStr">
        <is>
          <t>SA</t>
        </is>
      </c>
      <c r="E651" t="n">
        <v>2</v>
      </c>
      <c r="F651" t="n">
        <v>0.5</v>
      </c>
      <c r="G651">
        <f>E651*F651</f>
        <v/>
      </c>
    </row>
    <row r="652">
      <c r="A652" t="inlineStr">
        <is>
          <t>Telur Omega</t>
        </is>
      </c>
      <c r="B652" t="inlineStr">
        <is>
          <t>Bihun Kari Asam</t>
        </is>
      </c>
      <c r="C652" t="inlineStr">
        <is>
          <t>2026-06</t>
        </is>
      </c>
      <c r="D652" t="inlineStr">
        <is>
          <t>PJ</t>
        </is>
      </c>
      <c r="E652" t="n">
        <v>3</v>
      </c>
      <c r="F652" t="n">
        <v>0.5</v>
      </c>
      <c r="G652">
        <f>E652*F652</f>
        <v/>
      </c>
    </row>
    <row r="653">
      <c r="A653" t="inlineStr">
        <is>
          <t>Telur Omega</t>
        </is>
      </c>
      <c r="B653" t="inlineStr">
        <is>
          <t>Bihun Kari Asam</t>
        </is>
      </c>
      <c r="C653" t="inlineStr">
        <is>
          <t>2026-06</t>
        </is>
      </c>
      <c r="D653" t="inlineStr">
        <is>
          <t>SA</t>
        </is>
      </c>
      <c r="E653" t="n">
        <v>1</v>
      </c>
      <c r="F653" t="n">
        <v>0.5</v>
      </c>
      <c r="G653">
        <f>E653*F653</f>
        <v/>
      </c>
    </row>
    <row r="654">
      <c r="A654" t="inlineStr">
        <is>
          <t>Telur Omega</t>
        </is>
      </c>
      <c r="B654" t="inlineStr">
        <is>
          <t>Bihun Kari Asam</t>
        </is>
      </c>
      <c r="C654" t="inlineStr">
        <is>
          <t>2026-07</t>
        </is>
      </c>
      <c r="D654" t="inlineStr">
        <is>
          <t>PJ</t>
        </is>
      </c>
      <c r="E654" t="n">
        <v>7</v>
      </c>
      <c r="F654" t="n">
        <v>0.5</v>
      </c>
      <c r="G654">
        <f>E654*F654</f>
        <v/>
      </c>
    </row>
    <row r="655">
      <c r="A655" t="inlineStr">
        <is>
          <t>Telur Omega</t>
        </is>
      </c>
      <c r="B655" t="inlineStr">
        <is>
          <t>Bihun Kari Asam</t>
        </is>
      </c>
      <c r="C655" t="inlineStr">
        <is>
          <t>2026-07</t>
        </is>
      </c>
      <c r="D655" t="inlineStr">
        <is>
          <t>SA</t>
        </is>
      </c>
      <c r="E655" t="n">
        <v>3</v>
      </c>
      <c r="F655" t="n">
        <v>0.5</v>
      </c>
      <c r="G655">
        <f>E655*F655</f>
        <v/>
      </c>
    </row>
    <row r="656">
      <c r="A656" t="inlineStr">
        <is>
          <t>Telur Omega</t>
        </is>
      </c>
      <c r="B656" t="inlineStr">
        <is>
          <t>Bihun Kari Asam</t>
        </is>
      </c>
      <c r="C656" t="inlineStr">
        <is>
          <t>2026-07</t>
        </is>
      </c>
      <c r="D656" t="inlineStr">
        <is>
          <t>TAM</t>
        </is>
      </c>
      <c r="E656" t="n">
        <v>1</v>
      </c>
      <c r="F656" t="n">
        <v>0.5</v>
      </c>
      <c r="G656">
        <f>E656*F656</f>
        <v/>
      </c>
    </row>
    <row r="657">
      <c r="A657" t="inlineStr">
        <is>
          <t>Telur Omega</t>
        </is>
      </c>
      <c r="B657" t="inlineStr">
        <is>
          <t>Crispy Prawn Creamy Carbonara</t>
        </is>
      </c>
      <c r="C657" t="inlineStr">
        <is>
          <t>2026-04</t>
        </is>
      </c>
      <c r="D657" t="inlineStr">
        <is>
          <t>PJ</t>
        </is>
      </c>
      <c r="E657" t="n">
        <v>38</v>
      </c>
      <c r="F657" t="n">
        <v>1</v>
      </c>
      <c r="G657">
        <f>E657*F657</f>
        <v/>
      </c>
    </row>
    <row r="658">
      <c r="A658" t="inlineStr">
        <is>
          <t>Telur Omega</t>
        </is>
      </c>
      <c r="B658" t="inlineStr">
        <is>
          <t>Crispy Prawn Creamy Carbonara</t>
        </is>
      </c>
      <c r="C658" t="inlineStr">
        <is>
          <t>2026-04</t>
        </is>
      </c>
      <c r="D658" t="inlineStr">
        <is>
          <t>SA</t>
        </is>
      </c>
      <c r="E658" t="n">
        <v>54</v>
      </c>
      <c r="F658" t="n">
        <v>1</v>
      </c>
      <c r="G658">
        <f>E658*F658</f>
        <v/>
      </c>
    </row>
    <row r="659">
      <c r="A659" t="inlineStr">
        <is>
          <t>Telur Omega</t>
        </is>
      </c>
      <c r="B659" t="inlineStr">
        <is>
          <t>Crispy Prawn Creamy Carbonara</t>
        </is>
      </c>
      <c r="C659" t="inlineStr">
        <is>
          <t>2026-04</t>
        </is>
      </c>
      <c r="D659" t="inlineStr">
        <is>
          <t>TAM</t>
        </is>
      </c>
      <c r="E659" t="n">
        <v>18</v>
      </c>
      <c r="F659" t="n">
        <v>1</v>
      </c>
      <c r="G659">
        <f>E659*F659</f>
        <v/>
      </c>
    </row>
    <row r="660">
      <c r="A660" t="inlineStr">
        <is>
          <t>Telur Omega</t>
        </is>
      </c>
      <c r="B660" t="inlineStr">
        <is>
          <t>Crispy Prawn Creamy Carbonara</t>
        </is>
      </c>
      <c r="C660" t="inlineStr">
        <is>
          <t>2026-05</t>
        </is>
      </c>
      <c r="D660" t="inlineStr">
        <is>
          <t>PJ</t>
        </is>
      </c>
      <c r="E660" t="n">
        <v>55</v>
      </c>
      <c r="F660" t="n">
        <v>1</v>
      </c>
      <c r="G660">
        <f>E660*F660</f>
        <v/>
      </c>
    </row>
    <row r="661">
      <c r="A661" t="inlineStr">
        <is>
          <t>Telur Omega</t>
        </is>
      </c>
      <c r="B661" t="inlineStr">
        <is>
          <t>Crispy Prawn Creamy Carbonara</t>
        </is>
      </c>
      <c r="C661" t="inlineStr">
        <is>
          <t>2026-05</t>
        </is>
      </c>
      <c r="D661" t="inlineStr">
        <is>
          <t>SA</t>
        </is>
      </c>
      <c r="E661" t="n">
        <v>28</v>
      </c>
      <c r="F661" t="n">
        <v>1</v>
      </c>
      <c r="G661">
        <f>E661*F661</f>
        <v/>
      </c>
    </row>
    <row r="662">
      <c r="A662" t="inlineStr">
        <is>
          <t>Telur Omega</t>
        </is>
      </c>
      <c r="B662" t="inlineStr">
        <is>
          <t>Crispy Prawn Creamy Carbonara</t>
        </is>
      </c>
      <c r="C662" t="inlineStr">
        <is>
          <t>2026-05</t>
        </is>
      </c>
      <c r="D662" t="inlineStr">
        <is>
          <t>TAM</t>
        </is>
      </c>
      <c r="E662" t="n">
        <v>27</v>
      </c>
      <c r="F662" t="n">
        <v>1</v>
      </c>
      <c r="G662">
        <f>E662*F662</f>
        <v/>
      </c>
    </row>
    <row r="663">
      <c r="A663" t="inlineStr">
        <is>
          <t>Telur Omega</t>
        </is>
      </c>
      <c r="B663" t="inlineStr">
        <is>
          <t>Crispy Prawn Creamy Carbonara</t>
        </is>
      </c>
      <c r="C663" t="inlineStr">
        <is>
          <t>2026-06</t>
        </is>
      </c>
      <c r="D663" t="inlineStr">
        <is>
          <t>PJ</t>
        </is>
      </c>
      <c r="E663" t="n">
        <v>24</v>
      </c>
      <c r="F663" t="n">
        <v>1</v>
      </c>
      <c r="G663">
        <f>E663*F663</f>
        <v/>
      </c>
    </row>
    <row r="664">
      <c r="A664" t="inlineStr">
        <is>
          <t>Telur Omega</t>
        </is>
      </c>
      <c r="B664" t="inlineStr">
        <is>
          <t>Crispy Prawn Creamy Carbonara</t>
        </is>
      </c>
      <c r="C664" t="inlineStr">
        <is>
          <t>2026-06</t>
        </is>
      </c>
      <c r="D664" t="inlineStr">
        <is>
          <t>SA</t>
        </is>
      </c>
      <c r="E664" t="n">
        <v>33</v>
      </c>
      <c r="F664" t="n">
        <v>1</v>
      </c>
      <c r="G664">
        <f>E664*F664</f>
        <v/>
      </c>
    </row>
    <row r="665">
      <c r="A665" t="inlineStr">
        <is>
          <t>Telur Omega</t>
        </is>
      </c>
      <c r="B665" t="inlineStr">
        <is>
          <t>Crispy Prawn Creamy Carbonara</t>
        </is>
      </c>
      <c r="C665" t="inlineStr">
        <is>
          <t>2026-06</t>
        </is>
      </c>
      <c r="D665" t="inlineStr">
        <is>
          <t>TAM</t>
        </is>
      </c>
      <c r="E665" t="n">
        <v>12</v>
      </c>
      <c r="F665" t="n">
        <v>1</v>
      </c>
      <c r="G665">
        <f>E665*F665</f>
        <v/>
      </c>
    </row>
    <row r="666">
      <c r="A666" t="inlineStr">
        <is>
          <t>Telur Omega</t>
        </is>
      </c>
      <c r="B666" t="inlineStr">
        <is>
          <t>Crispy Prawn Creamy Carbonara</t>
        </is>
      </c>
      <c r="C666" t="inlineStr">
        <is>
          <t>2026-07</t>
        </is>
      </c>
      <c r="D666" t="inlineStr">
        <is>
          <t>PJ</t>
        </is>
      </c>
      <c r="E666" t="n">
        <v>27</v>
      </c>
      <c r="F666" t="n">
        <v>1</v>
      </c>
      <c r="G666">
        <f>E666*F666</f>
        <v/>
      </c>
    </row>
    <row r="667">
      <c r="A667" t="inlineStr">
        <is>
          <t>Telur Omega</t>
        </is>
      </c>
      <c r="B667" t="inlineStr">
        <is>
          <t>Crispy Prawn Creamy Carbonara</t>
        </is>
      </c>
      <c r="C667" t="inlineStr">
        <is>
          <t>2026-07</t>
        </is>
      </c>
      <c r="D667" t="inlineStr">
        <is>
          <t>SA</t>
        </is>
      </c>
      <c r="E667" t="n">
        <v>16</v>
      </c>
      <c r="F667" t="n">
        <v>1</v>
      </c>
      <c r="G667">
        <f>E667*F667</f>
        <v/>
      </c>
    </row>
    <row r="668">
      <c r="A668" t="inlineStr">
        <is>
          <t>Telur Omega</t>
        </is>
      </c>
      <c r="B668" t="inlineStr">
        <is>
          <t>Crispy Prawn Creamy Carbonara</t>
        </is>
      </c>
      <c r="C668" t="inlineStr">
        <is>
          <t>2026-07</t>
        </is>
      </c>
      <c r="D668" t="inlineStr">
        <is>
          <t>TAM</t>
        </is>
      </c>
      <c r="E668" t="n">
        <v>11</v>
      </c>
      <c r="F668" t="n">
        <v>1</v>
      </c>
      <c r="G668">
        <f>E668*F668</f>
        <v/>
      </c>
    </row>
    <row r="669">
      <c r="A669" t="inlineStr">
        <is>
          <t>Telur Omega</t>
        </is>
      </c>
      <c r="B669" t="inlineStr">
        <is>
          <t>Egg Sando</t>
        </is>
      </c>
      <c r="C669" t="inlineStr">
        <is>
          <t>2026-04</t>
        </is>
      </c>
      <c r="D669" t="inlineStr">
        <is>
          <t>PJ</t>
        </is>
      </c>
      <c r="E669" t="n">
        <v>69</v>
      </c>
      <c r="F669" t="n">
        <v>1</v>
      </c>
      <c r="G669">
        <f>E669*F669</f>
        <v/>
      </c>
    </row>
    <row r="670">
      <c r="A670" t="inlineStr">
        <is>
          <t>Telur Omega</t>
        </is>
      </c>
      <c r="B670" t="inlineStr">
        <is>
          <t>Egg Sando</t>
        </is>
      </c>
      <c r="C670" t="inlineStr">
        <is>
          <t>2026-04</t>
        </is>
      </c>
      <c r="D670" t="inlineStr">
        <is>
          <t>SA</t>
        </is>
      </c>
      <c r="E670" t="n">
        <v>30</v>
      </c>
      <c r="F670" t="n">
        <v>1</v>
      </c>
      <c r="G670">
        <f>E670*F670</f>
        <v/>
      </c>
    </row>
    <row r="671">
      <c r="A671" t="inlineStr">
        <is>
          <t>Telur Omega</t>
        </is>
      </c>
      <c r="B671" t="inlineStr">
        <is>
          <t>Egg Sando</t>
        </is>
      </c>
      <c r="C671" t="inlineStr">
        <is>
          <t>2026-04</t>
        </is>
      </c>
      <c r="D671" t="inlineStr">
        <is>
          <t>TAM</t>
        </is>
      </c>
      <c r="E671" t="n">
        <v>39</v>
      </c>
      <c r="F671" t="n">
        <v>1</v>
      </c>
      <c r="G671">
        <f>E671*F671</f>
        <v/>
      </c>
    </row>
    <row r="672">
      <c r="A672" t="inlineStr">
        <is>
          <t>Telur Omega</t>
        </is>
      </c>
      <c r="B672" t="inlineStr">
        <is>
          <t>Egg Sando</t>
        </is>
      </c>
      <c r="C672" t="inlineStr">
        <is>
          <t>2026-05</t>
        </is>
      </c>
      <c r="D672" t="inlineStr">
        <is>
          <t>PJ</t>
        </is>
      </c>
      <c r="E672" t="n">
        <v>119</v>
      </c>
      <c r="F672" t="n">
        <v>1</v>
      </c>
      <c r="G672">
        <f>E672*F672</f>
        <v/>
      </c>
    </row>
    <row r="673">
      <c r="A673" t="inlineStr">
        <is>
          <t>Telur Omega</t>
        </is>
      </c>
      <c r="B673" t="inlineStr">
        <is>
          <t>Egg Sando</t>
        </is>
      </c>
      <c r="C673" t="inlineStr">
        <is>
          <t>2026-05</t>
        </is>
      </c>
      <c r="D673" t="inlineStr">
        <is>
          <t>SA</t>
        </is>
      </c>
      <c r="E673" t="n">
        <v>37</v>
      </c>
      <c r="F673" t="n">
        <v>1</v>
      </c>
      <c r="G673">
        <f>E673*F673</f>
        <v/>
      </c>
    </row>
    <row r="674">
      <c r="A674" t="inlineStr">
        <is>
          <t>Telur Omega</t>
        </is>
      </c>
      <c r="B674" t="inlineStr">
        <is>
          <t>Egg Sando</t>
        </is>
      </c>
      <c r="C674" t="inlineStr">
        <is>
          <t>2026-05</t>
        </is>
      </c>
      <c r="D674" t="inlineStr">
        <is>
          <t>TAM</t>
        </is>
      </c>
      <c r="E674" t="n">
        <v>44</v>
      </c>
      <c r="F674" t="n">
        <v>1</v>
      </c>
      <c r="G674">
        <f>E674*F674</f>
        <v/>
      </c>
    </row>
    <row r="675">
      <c r="A675" t="inlineStr">
        <is>
          <t>Telur Omega</t>
        </is>
      </c>
      <c r="B675" t="inlineStr">
        <is>
          <t>Egg Sando</t>
        </is>
      </c>
      <c r="C675" t="inlineStr">
        <is>
          <t>2026-06</t>
        </is>
      </c>
      <c r="D675" t="inlineStr">
        <is>
          <t>PJ</t>
        </is>
      </c>
      <c r="E675" t="n">
        <v>97</v>
      </c>
      <c r="F675" t="n">
        <v>1</v>
      </c>
      <c r="G675">
        <f>E675*F675</f>
        <v/>
      </c>
    </row>
    <row r="676">
      <c r="A676" t="inlineStr">
        <is>
          <t>Telur Omega</t>
        </is>
      </c>
      <c r="B676" t="inlineStr">
        <is>
          <t>Egg Sando</t>
        </is>
      </c>
      <c r="C676" t="inlineStr">
        <is>
          <t>2026-06</t>
        </is>
      </c>
      <c r="D676" t="inlineStr">
        <is>
          <t>SA</t>
        </is>
      </c>
      <c r="E676" t="n">
        <v>48</v>
      </c>
      <c r="F676" t="n">
        <v>1</v>
      </c>
      <c r="G676">
        <f>E676*F676</f>
        <v/>
      </c>
    </row>
    <row r="677">
      <c r="A677" t="inlineStr">
        <is>
          <t>Telur Omega</t>
        </is>
      </c>
      <c r="B677" t="inlineStr">
        <is>
          <t>Egg Sando</t>
        </is>
      </c>
      <c r="C677" t="inlineStr">
        <is>
          <t>2026-06</t>
        </is>
      </c>
      <c r="D677" t="inlineStr">
        <is>
          <t>TAM</t>
        </is>
      </c>
      <c r="E677" t="n">
        <v>84</v>
      </c>
      <c r="F677" t="n">
        <v>1</v>
      </c>
      <c r="G677">
        <f>E677*F677</f>
        <v/>
      </c>
    </row>
    <row r="678">
      <c r="A678" t="inlineStr">
        <is>
          <t>Telur Omega</t>
        </is>
      </c>
      <c r="B678" t="inlineStr">
        <is>
          <t>Egg Sando</t>
        </is>
      </c>
      <c r="C678" t="inlineStr">
        <is>
          <t>2026-07</t>
        </is>
      </c>
      <c r="D678" t="inlineStr">
        <is>
          <t>PJ</t>
        </is>
      </c>
      <c r="E678" t="n">
        <v>82</v>
      </c>
      <c r="F678" t="n">
        <v>1</v>
      </c>
      <c r="G678">
        <f>E678*F678</f>
        <v/>
      </c>
    </row>
    <row r="679">
      <c r="A679" t="inlineStr">
        <is>
          <t>Telur Omega</t>
        </is>
      </c>
      <c r="B679" t="inlineStr">
        <is>
          <t>Egg Sando</t>
        </is>
      </c>
      <c r="C679" t="inlineStr">
        <is>
          <t>2026-07</t>
        </is>
      </c>
      <c r="D679" t="inlineStr">
        <is>
          <t>SA</t>
        </is>
      </c>
      <c r="E679" t="n">
        <v>46</v>
      </c>
      <c r="F679" t="n">
        <v>1</v>
      </c>
      <c r="G679">
        <f>E679*F679</f>
        <v/>
      </c>
    </row>
    <row r="680">
      <c r="A680" t="inlineStr">
        <is>
          <t>Telur Omega</t>
        </is>
      </c>
      <c r="B680" t="inlineStr">
        <is>
          <t>Egg Sando</t>
        </is>
      </c>
      <c r="C680" t="inlineStr">
        <is>
          <t>2026-07</t>
        </is>
      </c>
      <c r="D680" t="inlineStr">
        <is>
          <t>TAM</t>
        </is>
      </c>
      <c r="E680" t="n">
        <v>33</v>
      </c>
      <c r="F680" t="n">
        <v>1</v>
      </c>
      <c r="G680">
        <f>E680*F680</f>
        <v/>
      </c>
    </row>
    <row r="681">
      <c r="A681" t="inlineStr">
        <is>
          <t>Telur Omega</t>
        </is>
      </c>
      <c r="B681" t="inlineStr">
        <is>
          <t>Half Boiled Eggs</t>
        </is>
      </c>
      <c r="C681" t="inlineStr">
        <is>
          <t>2026-04</t>
        </is>
      </c>
      <c r="D681" t="inlineStr">
        <is>
          <t>PJ</t>
        </is>
      </c>
      <c r="E681" t="n">
        <v>51</v>
      </c>
      <c r="F681" t="n">
        <v>2</v>
      </c>
      <c r="G681">
        <f>E681*F681</f>
        <v/>
      </c>
    </row>
    <row r="682">
      <c r="A682" t="inlineStr">
        <is>
          <t>Telur Omega</t>
        </is>
      </c>
      <c r="B682" t="inlineStr">
        <is>
          <t>Half Boiled Eggs</t>
        </is>
      </c>
      <c r="C682" t="inlineStr">
        <is>
          <t>2026-04</t>
        </is>
      </c>
      <c r="D682" t="inlineStr">
        <is>
          <t>SA</t>
        </is>
      </c>
      <c r="E682" t="n">
        <v>36</v>
      </c>
      <c r="F682" t="n">
        <v>2</v>
      </c>
      <c r="G682">
        <f>E682*F682</f>
        <v/>
      </c>
    </row>
    <row r="683">
      <c r="A683" t="inlineStr">
        <is>
          <t>Telur Omega</t>
        </is>
      </c>
      <c r="B683" t="inlineStr">
        <is>
          <t>Half Boiled Eggs</t>
        </is>
      </c>
      <c r="C683" t="inlineStr">
        <is>
          <t>2026-04</t>
        </is>
      </c>
      <c r="D683" t="inlineStr">
        <is>
          <t>TAM</t>
        </is>
      </c>
      <c r="E683" t="n">
        <v>29</v>
      </c>
      <c r="F683" t="n">
        <v>2</v>
      </c>
      <c r="G683">
        <f>E683*F683</f>
        <v/>
      </c>
    </row>
    <row r="684">
      <c r="A684" t="inlineStr">
        <is>
          <t>Telur Omega</t>
        </is>
      </c>
      <c r="B684" t="inlineStr">
        <is>
          <t>Half Boiled Eggs</t>
        </is>
      </c>
      <c r="C684" t="inlineStr">
        <is>
          <t>2026-05</t>
        </is>
      </c>
      <c r="D684" t="inlineStr">
        <is>
          <t>PJ</t>
        </is>
      </c>
      <c r="E684" t="n">
        <v>52</v>
      </c>
      <c r="F684" t="n">
        <v>2</v>
      </c>
      <c r="G684">
        <f>E684*F684</f>
        <v/>
      </c>
    </row>
    <row r="685">
      <c r="A685" t="inlineStr">
        <is>
          <t>Telur Omega</t>
        </is>
      </c>
      <c r="B685" t="inlineStr">
        <is>
          <t>Half Boiled Eggs</t>
        </is>
      </c>
      <c r="C685" t="inlineStr">
        <is>
          <t>2026-05</t>
        </is>
      </c>
      <c r="D685" t="inlineStr">
        <is>
          <t>SA</t>
        </is>
      </c>
      <c r="E685" t="n">
        <v>38</v>
      </c>
      <c r="F685" t="n">
        <v>2</v>
      </c>
      <c r="G685">
        <f>E685*F685</f>
        <v/>
      </c>
    </row>
    <row r="686">
      <c r="A686" t="inlineStr">
        <is>
          <t>Telur Omega</t>
        </is>
      </c>
      <c r="B686" t="inlineStr">
        <is>
          <t>Half Boiled Eggs</t>
        </is>
      </c>
      <c r="C686" t="inlineStr">
        <is>
          <t>2026-05</t>
        </is>
      </c>
      <c r="D686" t="inlineStr">
        <is>
          <t>TAM</t>
        </is>
      </c>
      <c r="E686" t="n">
        <v>26</v>
      </c>
      <c r="F686" t="n">
        <v>2</v>
      </c>
      <c r="G686">
        <f>E686*F686</f>
        <v/>
      </c>
    </row>
    <row r="687">
      <c r="A687" t="inlineStr">
        <is>
          <t>Telur Omega</t>
        </is>
      </c>
      <c r="B687" t="inlineStr">
        <is>
          <t>Half Boiled Eggs</t>
        </is>
      </c>
      <c r="C687" t="inlineStr">
        <is>
          <t>2026-06</t>
        </is>
      </c>
      <c r="D687" t="inlineStr">
        <is>
          <t>PJ</t>
        </is>
      </c>
      <c r="E687" t="n">
        <v>63</v>
      </c>
      <c r="F687" t="n">
        <v>2</v>
      </c>
      <c r="G687">
        <f>E687*F687</f>
        <v/>
      </c>
    </row>
    <row r="688">
      <c r="A688" t="inlineStr">
        <is>
          <t>Telur Omega</t>
        </is>
      </c>
      <c r="B688" t="inlineStr">
        <is>
          <t>Half Boiled Eggs</t>
        </is>
      </c>
      <c r="C688" t="inlineStr">
        <is>
          <t>2026-06</t>
        </is>
      </c>
      <c r="D688" t="inlineStr">
        <is>
          <t>SA</t>
        </is>
      </c>
      <c r="E688" t="n">
        <v>26</v>
      </c>
      <c r="F688" t="n">
        <v>2</v>
      </c>
      <c r="G688">
        <f>E688*F688</f>
        <v/>
      </c>
    </row>
    <row r="689">
      <c r="A689" t="inlineStr">
        <is>
          <t>Telur Omega</t>
        </is>
      </c>
      <c r="B689" t="inlineStr">
        <is>
          <t>Half Boiled Eggs</t>
        </is>
      </c>
      <c r="C689" t="inlineStr">
        <is>
          <t>2026-06</t>
        </is>
      </c>
      <c r="D689" t="inlineStr">
        <is>
          <t>TAM</t>
        </is>
      </c>
      <c r="E689" t="n">
        <v>23</v>
      </c>
      <c r="F689" t="n">
        <v>2</v>
      </c>
      <c r="G689">
        <f>E689*F689</f>
        <v/>
      </c>
    </row>
    <row r="690">
      <c r="A690" t="inlineStr">
        <is>
          <t>Telur Omega</t>
        </is>
      </c>
      <c r="B690" t="inlineStr">
        <is>
          <t>Half Boiled Eggs</t>
        </is>
      </c>
      <c r="C690" t="inlineStr">
        <is>
          <t>2026-07</t>
        </is>
      </c>
      <c r="D690" t="inlineStr">
        <is>
          <t>PJ</t>
        </is>
      </c>
      <c r="E690" t="n">
        <v>46</v>
      </c>
      <c r="F690" t="n">
        <v>2</v>
      </c>
      <c r="G690">
        <f>E690*F690</f>
        <v/>
      </c>
    </row>
    <row r="691">
      <c r="A691" t="inlineStr">
        <is>
          <t>Telur Omega</t>
        </is>
      </c>
      <c r="B691" t="inlineStr">
        <is>
          <t>Half Boiled Eggs</t>
        </is>
      </c>
      <c r="C691" t="inlineStr">
        <is>
          <t>2026-07</t>
        </is>
      </c>
      <c r="D691" t="inlineStr">
        <is>
          <t>SA</t>
        </is>
      </c>
      <c r="E691" t="n">
        <v>32</v>
      </c>
      <c r="F691" t="n">
        <v>2</v>
      </c>
      <c r="G691">
        <f>E691*F691</f>
        <v/>
      </c>
    </row>
    <row r="692">
      <c r="A692" t="inlineStr">
        <is>
          <t>Telur Omega</t>
        </is>
      </c>
      <c r="B692" t="inlineStr">
        <is>
          <t>Half Boiled Eggs</t>
        </is>
      </c>
      <c r="C692" t="inlineStr">
        <is>
          <t>2026-07</t>
        </is>
      </c>
      <c r="D692" t="inlineStr">
        <is>
          <t>TAM</t>
        </is>
      </c>
      <c r="E692" t="n">
        <v>22</v>
      </c>
      <c r="F692" t="n">
        <v>2</v>
      </c>
      <c r="G692">
        <f>E692*F692</f>
        <v/>
      </c>
    </row>
    <row r="693">
      <c r="A693" t="inlineStr">
        <is>
          <t>Telur Omega</t>
        </is>
      </c>
      <c r="B693" t="inlineStr">
        <is>
          <t>Mee Kari</t>
        </is>
      </c>
      <c r="C693" t="inlineStr">
        <is>
          <t>2026-04</t>
        </is>
      </c>
      <c r="D693" t="inlineStr">
        <is>
          <t>PJ</t>
        </is>
      </c>
      <c r="E693" t="n">
        <v>18</v>
      </c>
      <c r="F693" t="n">
        <v>0.5</v>
      </c>
      <c r="G693">
        <f>E693*F693</f>
        <v/>
      </c>
    </row>
    <row r="694">
      <c r="A694" t="inlineStr">
        <is>
          <t>Telur Omega</t>
        </is>
      </c>
      <c r="B694" t="inlineStr">
        <is>
          <t>Mee Kari</t>
        </is>
      </c>
      <c r="C694" t="inlineStr">
        <is>
          <t>2026-04</t>
        </is>
      </c>
      <c r="D694" t="inlineStr">
        <is>
          <t>SA</t>
        </is>
      </c>
      <c r="E694" t="n">
        <v>37</v>
      </c>
      <c r="F694" t="n">
        <v>0.5</v>
      </c>
      <c r="G694">
        <f>E694*F694</f>
        <v/>
      </c>
    </row>
    <row r="695">
      <c r="A695" t="inlineStr">
        <is>
          <t>Telur Omega</t>
        </is>
      </c>
      <c r="B695" t="inlineStr">
        <is>
          <t>Mee Kari</t>
        </is>
      </c>
      <c r="C695" t="inlineStr">
        <is>
          <t>2026-05</t>
        </is>
      </c>
      <c r="D695" t="inlineStr">
        <is>
          <t>PJ</t>
        </is>
      </c>
      <c r="E695" t="n">
        <v>52</v>
      </c>
      <c r="F695" t="n">
        <v>0.5</v>
      </c>
      <c r="G695">
        <f>E695*F695</f>
        <v/>
      </c>
    </row>
    <row r="696">
      <c r="A696" t="inlineStr">
        <is>
          <t>Telur Omega</t>
        </is>
      </c>
      <c r="B696" t="inlineStr">
        <is>
          <t>Mee Kari</t>
        </is>
      </c>
      <c r="C696" t="inlineStr">
        <is>
          <t>2026-05</t>
        </is>
      </c>
      <c r="D696" t="inlineStr">
        <is>
          <t>SA</t>
        </is>
      </c>
      <c r="E696" t="n">
        <v>35</v>
      </c>
      <c r="F696" t="n">
        <v>0.5</v>
      </c>
      <c r="G696">
        <f>E696*F696</f>
        <v/>
      </c>
    </row>
    <row r="697">
      <c r="A697" t="inlineStr">
        <is>
          <t>Telur Omega</t>
        </is>
      </c>
      <c r="B697" t="inlineStr">
        <is>
          <t>Mee Kari</t>
        </is>
      </c>
      <c r="C697" t="inlineStr">
        <is>
          <t>2026-06</t>
        </is>
      </c>
      <c r="D697" t="inlineStr">
        <is>
          <t>PJ</t>
        </is>
      </c>
      <c r="E697" t="n">
        <v>29</v>
      </c>
      <c r="F697" t="n">
        <v>0.5</v>
      </c>
      <c r="G697">
        <f>E697*F697</f>
        <v/>
      </c>
    </row>
    <row r="698">
      <c r="A698" t="inlineStr">
        <is>
          <t>Telur Omega</t>
        </is>
      </c>
      <c r="B698" t="inlineStr">
        <is>
          <t>Mee Kari</t>
        </is>
      </c>
      <c r="C698" t="inlineStr">
        <is>
          <t>2026-06</t>
        </is>
      </c>
      <c r="D698" t="inlineStr">
        <is>
          <t>SA</t>
        </is>
      </c>
      <c r="E698" t="n">
        <v>31</v>
      </c>
      <c r="F698" t="n">
        <v>0.5</v>
      </c>
      <c r="G698">
        <f>E698*F698</f>
        <v/>
      </c>
    </row>
    <row r="699">
      <c r="A699" t="inlineStr">
        <is>
          <t>Telur Omega</t>
        </is>
      </c>
      <c r="B699" t="inlineStr">
        <is>
          <t>Mee Kari</t>
        </is>
      </c>
      <c r="C699" t="inlineStr">
        <is>
          <t>2026-06</t>
        </is>
      </c>
      <c r="D699" t="inlineStr">
        <is>
          <t>TAM</t>
        </is>
      </c>
      <c r="E699" t="n">
        <v>15</v>
      </c>
      <c r="F699" t="n">
        <v>0.5</v>
      </c>
      <c r="G699">
        <f>E699*F699</f>
        <v/>
      </c>
    </row>
    <row r="700">
      <c r="A700" t="inlineStr">
        <is>
          <t>Telur Omega</t>
        </is>
      </c>
      <c r="B700" t="inlineStr">
        <is>
          <t>Mee Kari</t>
        </is>
      </c>
      <c r="C700" t="inlineStr">
        <is>
          <t>2026-07</t>
        </is>
      </c>
      <c r="D700" t="inlineStr">
        <is>
          <t>PJ</t>
        </is>
      </c>
      <c r="E700" t="n">
        <v>38</v>
      </c>
      <c r="F700" t="n">
        <v>0.5</v>
      </c>
      <c r="G700">
        <f>E700*F700</f>
        <v/>
      </c>
    </row>
    <row r="701">
      <c r="A701" t="inlineStr">
        <is>
          <t>Telur Omega</t>
        </is>
      </c>
      <c r="B701" t="inlineStr">
        <is>
          <t>Mee Kari</t>
        </is>
      </c>
      <c r="C701" t="inlineStr">
        <is>
          <t>2026-07</t>
        </is>
      </c>
      <c r="D701" t="inlineStr">
        <is>
          <t>SA</t>
        </is>
      </c>
      <c r="E701" t="n">
        <v>21</v>
      </c>
      <c r="F701" t="n">
        <v>0.5</v>
      </c>
      <c r="G701">
        <f>E701*F701</f>
        <v/>
      </c>
    </row>
    <row r="702">
      <c r="A702" t="inlineStr">
        <is>
          <t>Telur Omega</t>
        </is>
      </c>
      <c r="B702" t="inlineStr">
        <is>
          <t>Mee Kari</t>
        </is>
      </c>
      <c r="C702" t="inlineStr">
        <is>
          <t>2026-07</t>
        </is>
      </c>
      <c r="D702" t="inlineStr">
        <is>
          <t>TAM</t>
        </is>
      </c>
      <c r="E702" t="n">
        <v>16</v>
      </c>
      <c r="F702" t="n">
        <v>0.5</v>
      </c>
      <c r="G702">
        <f>E702*F702</f>
        <v/>
      </c>
    </row>
    <row r="703">
      <c r="A703" t="inlineStr">
        <is>
          <t>Telur Omega</t>
        </is>
      </c>
      <c r="B703" t="inlineStr">
        <is>
          <t>Mee Kari Asam</t>
        </is>
      </c>
      <c r="C703" t="inlineStr">
        <is>
          <t>2026-04</t>
        </is>
      </c>
      <c r="D703" t="inlineStr">
        <is>
          <t>PJ</t>
        </is>
      </c>
      <c r="E703" t="n">
        <v>2</v>
      </c>
      <c r="F703" t="n">
        <v>0.5</v>
      </c>
      <c r="G703">
        <f>E703*F703</f>
        <v/>
      </c>
    </row>
    <row r="704">
      <c r="A704" t="inlineStr">
        <is>
          <t>Telur Omega</t>
        </is>
      </c>
      <c r="B704" t="inlineStr">
        <is>
          <t>Mee Kari Asam</t>
        </is>
      </c>
      <c r="C704" t="inlineStr">
        <is>
          <t>2026-04</t>
        </is>
      </c>
      <c r="D704" t="inlineStr">
        <is>
          <t>SA</t>
        </is>
      </c>
      <c r="E704" t="n">
        <v>4</v>
      </c>
      <c r="F704" t="n">
        <v>0.5</v>
      </c>
      <c r="G704">
        <f>E704*F704</f>
        <v/>
      </c>
    </row>
    <row r="705">
      <c r="A705" t="inlineStr">
        <is>
          <t>Telur Omega</t>
        </is>
      </c>
      <c r="B705" t="inlineStr">
        <is>
          <t>Mee Kari Asam</t>
        </is>
      </c>
      <c r="C705" t="inlineStr">
        <is>
          <t>2026-05</t>
        </is>
      </c>
      <c r="D705" t="inlineStr">
        <is>
          <t>PJ</t>
        </is>
      </c>
      <c r="E705" t="n">
        <v>11</v>
      </c>
      <c r="F705" t="n">
        <v>0.5</v>
      </c>
      <c r="G705">
        <f>E705*F705</f>
        <v/>
      </c>
    </row>
    <row r="706">
      <c r="A706" t="inlineStr">
        <is>
          <t>Telur Omega</t>
        </is>
      </c>
      <c r="B706" t="inlineStr">
        <is>
          <t>Mee Kari Asam</t>
        </is>
      </c>
      <c r="C706" t="inlineStr">
        <is>
          <t>2026-05</t>
        </is>
      </c>
      <c r="D706" t="inlineStr">
        <is>
          <t>SA</t>
        </is>
      </c>
      <c r="E706" t="n">
        <v>1</v>
      </c>
      <c r="F706" t="n">
        <v>0.5</v>
      </c>
      <c r="G706">
        <f>E706*F706</f>
        <v/>
      </c>
    </row>
    <row r="707">
      <c r="A707" t="inlineStr">
        <is>
          <t>Telur Omega</t>
        </is>
      </c>
      <c r="B707" t="inlineStr">
        <is>
          <t>Mee Kari Asam</t>
        </is>
      </c>
      <c r="C707" t="inlineStr">
        <is>
          <t>2026-06</t>
        </is>
      </c>
      <c r="D707" t="inlineStr">
        <is>
          <t>PJ</t>
        </is>
      </c>
      <c r="E707" t="n">
        <v>9</v>
      </c>
      <c r="F707" t="n">
        <v>0.5</v>
      </c>
      <c r="G707">
        <f>E707*F707</f>
        <v/>
      </c>
    </row>
    <row r="708">
      <c r="A708" t="inlineStr">
        <is>
          <t>Telur Omega</t>
        </is>
      </c>
      <c r="B708" t="inlineStr">
        <is>
          <t>Mee Kari Asam</t>
        </is>
      </c>
      <c r="C708" t="inlineStr">
        <is>
          <t>2026-06</t>
        </is>
      </c>
      <c r="D708" t="inlineStr">
        <is>
          <t>SA</t>
        </is>
      </c>
      <c r="E708" t="n">
        <v>5</v>
      </c>
      <c r="F708" t="n">
        <v>0.5</v>
      </c>
      <c r="G708">
        <f>E708*F708</f>
        <v/>
      </c>
    </row>
    <row r="709">
      <c r="A709" t="inlineStr">
        <is>
          <t>Telur Omega</t>
        </is>
      </c>
      <c r="B709" t="inlineStr">
        <is>
          <t>Mee Kari Asam</t>
        </is>
      </c>
      <c r="C709" t="inlineStr">
        <is>
          <t>2026-06</t>
        </is>
      </c>
      <c r="D709" t="inlineStr">
        <is>
          <t>TAM</t>
        </is>
      </c>
      <c r="E709" t="n">
        <v>4</v>
      </c>
      <c r="F709" t="n">
        <v>0.5</v>
      </c>
      <c r="G709">
        <f>E709*F709</f>
        <v/>
      </c>
    </row>
    <row r="710">
      <c r="A710" t="inlineStr">
        <is>
          <t>Telur Omega</t>
        </is>
      </c>
      <c r="B710" t="inlineStr">
        <is>
          <t>Mee Kari Asam</t>
        </is>
      </c>
      <c r="C710" t="inlineStr">
        <is>
          <t>2026-07</t>
        </is>
      </c>
      <c r="D710" t="inlineStr">
        <is>
          <t>PJ</t>
        </is>
      </c>
      <c r="E710" t="n">
        <v>4</v>
      </c>
      <c r="F710" t="n">
        <v>0.5</v>
      </c>
      <c r="G710">
        <f>E710*F710</f>
        <v/>
      </c>
    </row>
    <row r="711">
      <c r="A711" t="inlineStr">
        <is>
          <t>Telur Omega</t>
        </is>
      </c>
      <c r="B711" t="inlineStr">
        <is>
          <t>Mee Kari Asam</t>
        </is>
      </c>
      <c r="C711" t="inlineStr">
        <is>
          <t>2026-07</t>
        </is>
      </c>
      <c r="D711" t="inlineStr">
        <is>
          <t>SA</t>
        </is>
      </c>
      <c r="E711" t="n">
        <v>3</v>
      </c>
      <c r="F711" t="n">
        <v>0.5</v>
      </c>
      <c r="G711">
        <f>E711*F711</f>
        <v/>
      </c>
    </row>
    <row r="712">
      <c r="A712" t="inlineStr">
        <is>
          <t>Telur Omega</t>
        </is>
      </c>
      <c r="B712" t="inlineStr">
        <is>
          <t>Mee Kari Asam</t>
        </is>
      </c>
      <c r="C712" t="inlineStr">
        <is>
          <t>2026-07</t>
        </is>
      </c>
      <c r="D712" t="inlineStr">
        <is>
          <t>TAM</t>
        </is>
      </c>
      <c r="E712" t="n">
        <v>5</v>
      </c>
      <c r="F712" t="n">
        <v>0.5</v>
      </c>
      <c r="G712">
        <f>E712*F712</f>
        <v/>
      </c>
    </row>
    <row r="713">
      <c r="A713" t="inlineStr">
        <is>
          <t>Telur Omega</t>
        </is>
      </c>
      <c r="B713" t="inlineStr">
        <is>
          <t>Nasi Lemak 2 Sambal</t>
        </is>
      </c>
      <c r="C713" t="inlineStr">
        <is>
          <t>2026-04</t>
        </is>
      </c>
      <c r="D713" t="inlineStr">
        <is>
          <t>PJ</t>
        </is>
      </c>
      <c r="E713" t="n">
        <v>117</v>
      </c>
      <c r="F713" t="n">
        <v>1</v>
      </c>
      <c r="G713">
        <f>E713*F713</f>
        <v/>
      </c>
    </row>
    <row r="714">
      <c r="A714" t="inlineStr">
        <is>
          <t>Telur Omega</t>
        </is>
      </c>
      <c r="B714" t="inlineStr">
        <is>
          <t>Nasi Lemak 2 Sambal</t>
        </is>
      </c>
      <c r="C714" t="inlineStr">
        <is>
          <t>2026-04</t>
        </is>
      </c>
      <c r="D714" t="inlineStr">
        <is>
          <t>SA</t>
        </is>
      </c>
      <c r="E714" t="n">
        <v>39</v>
      </c>
      <c r="F714" t="n">
        <v>1</v>
      </c>
      <c r="G714">
        <f>E714*F714</f>
        <v/>
      </c>
    </row>
    <row r="715">
      <c r="A715" t="inlineStr">
        <is>
          <t>Telur Omega</t>
        </is>
      </c>
      <c r="B715" t="inlineStr">
        <is>
          <t>Nasi Lemak 2 Sambal</t>
        </is>
      </c>
      <c r="C715" t="inlineStr">
        <is>
          <t>2026-04</t>
        </is>
      </c>
      <c r="D715" t="inlineStr">
        <is>
          <t>TAM</t>
        </is>
      </c>
      <c r="E715" t="n">
        <v>60</v>
      </c>
      <c r="F715" t="n">
        <v>1</v>
      </c>
      <c r="G715">
        <f>E715*F715</f>
        <v/>
      </c>
    </row>
    <row r="716">
      <c r="A716" t="inlineStr">
        <is>
          <t>Telur Omega</t>
        </is>
      </c>
      <c r="B716" t="inlineStr">
        <is>
          <t>Nasi Lemak 2 Sambal</t>
        </is>
      </c>
      <c r="C716" t="inlineStr">
        <is>
          <t>2026-05</t>
        </is>
      </c>
      <c r="D716" t="inlineStr">
        <is>
          <t>PJ</t>
        </is>
      </c>
      <c r="E716" t="n">
        <v>165</v>
      </c>
      <c r="F716" t="n">
        <v>1</v>
      </c>
      <c r="G716">
        <f>E716*F716</f>
        <v/>
      </c>
    </row>
    <row r="717">
      <c r="A717" t="inlineStr">
        <is>
          <t>Telur Omega</t>
        </is>
      </c>
      <c r="B717" t="inlineStr">
        <is>
          <t>Nasi Lemak 2 Sambal</t>
        </is>
      </c>
      <c r="C717" t="inlineStr">
        <is>
          <t>2026-05</t>
        </is>
      </c>
      <c r="D717" t="inlineStr">
        <is>
          <t>SA</t>
        </is>
      </c>
      <c r="E717" t="n">
        <v>42</v>
      </c>
      <c r="F717" t="n">
        <v>1</v>
      </c>
      <c r="G717">
        <f>E717*F717</f>
        <v/>
      </c>
    </row>
    <row r="718">
      <c r="A718" t="inlineStr">
        <is>
          <t>Telur Omega</t>
        </is>
      </c>
      <c r="B718" t="inlineStr">
        <is>
          <t>Nasi Lemak 2 Sambal</t>
        </is>
      </c>
      <c r="C718" t="inlineStr">
        <is>
          <t>2026-05</t>
        </is>
      </c>
      <c r="D718" t="inlineStr">
        <is>
          <t>TAM</t>
        </is>
      </c>
      <c r="E718" t="n">
        <v>52</v>
      </c>
      <c r="F718" t="n">
        <v>1</v>
      </c>
      <c r="G718">
        <f>E718*F718</f>
        <v/>
      </c>
    </row>
    <row r="719">
      <c r="A719" t="inlineStr">
        <is>
          <t>Telur Omega</t>
        </is>
      </c>
      <c r="B719" t="inlineStr">
        <is>
          <t>Nasi Lemak 2 Sambal</t>
        </is>
      </c>
      <c r="C719" t="inlineStr">
        <is>
          <t>2026-06</t>
        </is>
      </c>
      <c r="D719" t="inlineStr">
        <is>
          <t>PJ</t>
        </is>
      </c>
      <c r="E719" t="n">
        <v>124</v>
      </c>
      <c r="F719" t="n">
        <v>1</v>
      </c>
      <c r="G719">
        <f>E719*F719</f>
        <v/>
      </c>
    </row>
    <row r="720">
      <c r="A720" t="inlineStr">
        <is>
          <t>Telur Omega</t>
        </is>
      </c>
      <c r="B720" t="inlineStr">
        <is>
          <t>Nasi Lemak 2 Sambal</t>
        </is>
      </c>
      <c r="C720" t="inlineStr">
        <is>
          <t>2026-06</t>
        </is>
      </c>
      <c r="D720" t="inlineStr">
        <is>
          <t>SA</t>
        </is>
      </c>
      <c r="E720" t="n">
        <v>45</v>
      </c>
      <c r="F720" t="n">
        <v>1</v>
      </c>
      <c r="G720">
        <f>E720*F720</f>
        <v/>
      </c>
    </row>
    <row r="721">
      <c r="A721" t="inlineStr">
        <is>
          <t>Telur Omega</t>
        </is>
      </c>
      <c r="B721" t="inlineStr">
        <is>
          <t>Nasi Lemak 2 Sambal</t>
        </is>
      </c>
      <c r="C721" t="inlineStr">
        <is>
          <t>2026-06</t>
        </is>
      </c>
      <c r="D721" t="inlineStr">
        <is>
          <t>TAM</t>
        </is>
      </c>
      <c r="E721" t="n">
        <v>55</v>
      </c>
      <c r="F721" t="n">
        <v>1</v>
      </c>
      <c r="G721">
        <f>E721*F721</f>
        <v/>
      </c>
    </row>
    <row r="722">
      <c r="A722" t="inlineStr">
        <is>
          <t>Telur Omega</t>
        </is>
      </c>
      <c r="B722" t="inlineStr">
        <is>
          <t>Nasi Lemak 2 Sambal</t>
        </is>
      </c>
      <c r="C722" t="inlineStr">
        <is>
          <t>2026-07</t>
        </is>
      </c>
      <c r="D722" t="inlineStr">
        <is>
          <t>PJ</t>
        </is>
      </c>
      <c r="E722" t="n">
        <v>114</v>
      </c>
      <c r="F722" t="n">
        <v>1</v>
      </c>
      <c r="G722">
        <f>E722*F722</f>
        <v/>
      </c>
    </row>
    <row r="723">
      <c r="A723" t="inlineStr">
        <is>
          <t>Telur Omega</t>
        </is>
      </c>
      <c r="B723" t="inlineStr">
        <is>
          <t>Nasi Lemak 2 Sambal</t>
        </is>
      </c>
      <c r="C723" t="inlineStr">
        <is>
          <t>2026-07</t>
        </is>
      </c>
      <c r="D723" t="inlineStr">
        <is>
          <t>SA</t>
        </is>
      </c>
      <c r="E723" t="n">
        <v>23</v>
      </c>
      <c r="F723" t="n">
        <v>1</v>
      </c>
      <c r="G723">
        <f>E723*F723</f>
        <v/>
      </c>
    </row>
    <row r="724">
      <c r="A724" t="inlineStr">
        <is>
          <t>Telur Omega</t>
        </is>
      </c>
      <c r="B724" t="inlineStr">
        <is>
          <t>Nasi Lemak 2 Sambal</t>
        </is>
      </c>
      <c r="C724" t="inlineStr">
        <is>
          <t>2026-07</t>
        </is>
      </c>
      <c r="D724" t="inlineStr">
        <is>
          <t>TAM</t>
        </is>
      </c>
      <c r="E724" t="n">
        <v>75</v>
      </c>
      <c r="F724" t="n">
        <v>1</v>
      </c>
      <c r="G724">
        <f>E724*F724</f>
        <v/>
      </c>
    </row>
    <row r="725">
      <c r="A725" t="inlineStr">
        <is>
          <t>Telur Omega</t>
        </is>
      </c>
      <c r="B725" t="inlineStr">
        <is>
          <t>Nasi Lemak 2 Sambal + Ayam Crispy</t>
        </is>
      </c>
      <c r="C725" t="inlineStr">
        <is>
          <t>2026-04</t>
        </is>
      </c>
      <c r="D725" t="inlineStr">
        <is>
          <t>PJ</t>
        </is>
      </c>
      <c r="E725" t="n">
        <v>207</v>
      </c>
      <c r="F725" t="n">
        <v>1</v>
      </c>
      <c r="G725">
        <f>E725*F725</f>
        <v/>
      </c>
    </row>
    <row r="726">
      <c r="A726" t="inlineStr">
        <is>
          <t>Telur Omega</t>
        </is>
      </c>
      <c r="B726" t="inlineStr">
        <is>
          <t>Nasi Lemak 2 Sambal + Ayam Crispy</t>
        </is>
      </c>
      <c r="C726" t="inlineStr">
        <is>
          <t>2026-04</t>
        </is>
      </c>
      <c r="D726" t="inlineStr">
        <is>
          <t>SA</t>
        </is>
      </c>
      <c r="E726" t="n">
        <v>68</v>
      </c>
      <c r="F726" t="n">
        <v>1</v>
      </c>
      <c r="G726">
        <f>E726*F726</f>
        <v/>
      </c>
    </row>
    <row r="727">
      <c r="A727" t="inlineStr">
        <is>
          <t>Telur Omega</t>
        </is>
      </c>
      <c r="B727" t="inlineStr">
        <is>
          <t>Nasi Lemak 2 Sambal + Ayam Crispy</t>
        </is>
      </c>
      <c r="C727" t="inlineStr">
        <is>
          <t>2026-04</t>
        </is>
      </c>
      <c r="D727" t="inlineStr">
        <is>
          <t>TAM</t>
        </is>
      </c>
      <c r="E727" t="n">
        <v>80</v>
      </c>
      <c r="F727" t="n">
        <v>1</v>
      </c>
      <c r="G727">
        <f>E727*F727</f>
        <v/>
      </c>
    </row>
    <row r="728">
      <c r="A728" t="inlineStr">
        <is>
          <t>Telur Omega</t>
        </is>
      </c>
      <c r="B728" t="inlineStr">
        <is>
          <t>Nasi Lemak 2 Sambal + Ayam Crispy</t>
        </is>
      </c>
      <c r="C728" t="inlineStr">
        <is>
          <t>2026-05</t>
        </is>
      </c>
      <c r="D728" t="inlineStr">
        <is>
          <t>PJ</t>
        </is>
      </c>
      <c r="E728" t="n">
        <v>229</v>
      </c>
      <c r="F728" t="n">
        <v>1</v>
      </c>
      <c r="G728">
        <f>E728*F728</f>
        <v/>
      </c>
    </row>
    <row r="729">
      <c r="A729" t="inlineStr">
        <is>
          <t>Telur Omega</t>
        </is>
      </c>
      <c r="B729" t="inlineStr">
        <is>
          <t>Nasi Lemak 2 Sambal + Ayam Crispy</t>
        </is>
      </c>
      <c r="C729" t="inlineStr">
        <is>
          <t>2026-05</t>
        </is>
      </c>
      <c r="D729" t="inlineStr">
        <is>
          <t>SA</t>
        </is>
      </c>
      <c r="E729" t="n">
        <v>122</v>
      </c>
      <c r="F729" t="n">
        <v>1</v>
      </c>
      <c r="G729">
        <f>E729*F729</f>
        <v/>
      </c>
    </row>
    <row r="730">
      <c r="A730" t="inlineStr">
        <is>
          <t>Telur Omega</t>
        </is>
      </c>
      <c r="B730" t="inlineStr">
        <is>
          <t>Nasi Lemak 2 Sambal + Ayam Crispy</t>
        </is>
      </c>
      <c r="C730" t="inlineStr">
        <is>
          <t>2026-05</t>
        </is>
      </c>
      <c r="D730" t="inlineStr">
        <is>
          <t>TAM</t>
        </is>
      </c>
      <c r="E730" t="n">
        <v>82</v>
      </c>
      <c r="F730" t="n">
        <v>1</v>
      </c>
      <c r="G730">
        <f>E730*F730</f>
        <v/>
      </c>
    </row>
    <row r="731">
      <c r="A731" t="inlineStr">
        <is>
          <t>Telur Omega</t>
        </is>
      </c>
      <c r="B731" t="inlineStr">
        <is>
          <t>Nasi Lemak 2 Sambal + Ayam Crispy</t>
        </is>
      </c>
      <c r="C731" t="inlineStr">
        <is>
          <t>2026-06</t>
        </is>
      </c>
      <c r="D731" t="inlineStr">
        <is>
          <t>PJ</t>
        </is>
      </c>
      <c r="E731" t="n">
        <v>174</v>
      </c>
      <c r="F731" t="n">
        <v>1</v>
      </c>
      <c r="G731">
        <f>E731*F731</f>
        <v/>
      </c>
    </row>
    <row r="732">
      <c r="A732" t="inlineStr">
        <is>
          <t>Telur Omega</t>
        </is>
      </c>
      <c r="B732" t="inlineStr">
        <is>
          <t>Nasi Lemak 2 Sambal + Ayam Crispy</t>
        </is>
      </c>
      <c r="C732" t="inlineStr">
        <is>
          <t>2026-06</t>
        </is>
      </c>
      <c r="D732" t="inlineStr">
        <is>
          <t>SA</t>
        </is>
      </c>
      <c r="E732" t="n">
        <v>69</v>
      </c>
      <c r="F732" t="n">
        <v>1</v>
      </c>
      <c r="G732">
        <f>E732*F732</f>
        <v/>
      </c>
    </row>
    <row r="733">
      <c r="A733" t="inlineStr">
        <is>
          <t>Telur Omega</t>
        </is>
      </c>
      <c r="B733" t="inlineStr">
        <is>
          <t>Nasi Lemak 2 Sambal + Ayam Crispy</t>
        </is>
      </c>
      <c r="C733" t="inlineStr">
        <is>
          <t>2026-06</t>
        </is>
      </c>
      <c r="D733" t="inlineStr">
        <is>
          <t>TAM</t>
        </is>
      </c>
      <c r="E733" t="n">
        <v>81</v>
      </c>
      <c r="F733" t="n">
        <v>1</v>
      </c>
      <c r="G733">
        <f>E733*F733</f>
        <v/>
      </c>
    </row>
    <row r="734">
      <c r="A734" t="inlineStr">
        <is>
          <t>Telur Omega</t>
        </is>
      </c>
      <c r="B734" t="inlineStr">
        <is>
          <t>Nasi Lemak 2 Sambal + Ayam Crispy</t>
        </is>
      </c>
      <c r="C734" t="inlineStr">
        <is>
          <t>2026-07</t>
        </is>
      </c>
      <c r="D734" t="inlineStr">
        <is>
          <t>PJ</t>
        </is>
      </c>
      <c r="E734" t="n">
        <v>130</v>
      </c>
      <c r="F734" t="n">
        <v>1</v>
      </c>
      <c r="G734">
        <f>E734*F734</f>
        <v/>
      </c>
    </row>
    <row r="735">
      <c r="A735" t="inlineStr">
        <is>
          <t>Telur Omega</t>
        </is>
      </c>
      <c r="B735" t="inlineStr">
        <is>
          <t>Nasi Lemak 2 Sambal + Ayam Crispy</t>
        </is>
      </c>
      <c r="C735" t="inlineStr">
        <is>
          <t>2026-07</t>
        </is>
      </c>
      <c r="D735" t="inlineStr">
        <is>
          <t>SA</t>
        </is>
      </c>
      <c r="E735" t="n">
        <v>61</v>
      </c>
      <c r="F735" t="n">
        <v>1</v>
      </c>
      <c r="G735">
        <f>E735*F735</f>
        <v/>
      </c>
    </row>
    <row r="736">
      <c r="A736" t="inlineStr">
        <is>
          <t>Telur Omega</t>
        </is>
      </c>
      <c r="B736" t="inlineStr">
        <is>
          <t>Nasi Lemak 2 Sambal + Ayam Crispy</t>
        </is>
      </c>
      <c r="C736" t="inlineStr">
        <is>
          <t>2026-07</t>
        </is>
      </c>
      <c r="D736" t="inlineStr">
        <is>
          <t>TAM</t>
        </is>
      </c>
      <c r="E736" t="n">
        <v>68</v>
      </c>
      <c r="F736" t="n">
        <v>1</v>
      </c>
      <c r="G736">
        <f>E736*F736</f>
        <v/>
      </c>
    </row>
    <row r="737">
      <c r="A737" t="inlineStr">
        <is>
          <t>Telur Omega</t>
        </is>
      </c>
      <c r="B737" t="inlineStr">
        <is>
          <t>Nasi Lemak 2 Sambal + Ayam Grilled</t>
        </is>
      </c>
      <c r="C737" t="inlineStr">
        <is>
          <t>2026-04</t>
        </is>
      </c>
      <c r="D737" t="inlineStr">
        <is>
          <t>PJ</t>
        </is>
      </c>
      <c r="E737" t="n">
        <v>134</v>
      </c>
      <c r="F737" t="n">
        <v>1</v>
      </c>
      <c r="G737">
        <f>E737*F737</f>
        <v/>
      </c>
    </row>
    <row r="738">
      <c r="A738" t="inlineStr">
        <is>
          <t>Telur Omega</t>
        </is>
      </c>
      <c r="B738" t="inlineStr">
        <is>
          <t>Nasi Lemak 2 Sambal + Ayam Grilled</t>
        </is>
      </c>
      <c r="C738" t="inlineStr">
        <is>
          <t>2026-04</t>
        </is>
      </c>
      <c r="D738" t="inlineStr">
        <is>
          <t>SA</t>
        </is>
      </c>
      <c r="E738" t="n">
        <v>31</v>
      </c>
      <c r="F738" t="n">
        <v>1</v>
      </c>
      <c r="G738">
        <f>E738*F738</f>
        <v/>
      </c>
    </row>
    <row r="739">
      <c r="A739" t="inlineStr">
        <is>
          <t>Telur Omega</t>
        </is>
      </c>
      <c r="B739" t="inlineStr">
        <is>
          <t>Nasi Lemak 2 Sambal + Ayam Grilled</t>
        </is>
      </c>
      <c r="C739" t="inlineStr">
        <is>
          <t>2026-04</t>
        </is>
      </c>
      <c r="D739" t="inlineStr">
        <is>
          <t>TAM</t>
        </is>
      </c>
      <c r="E739" t="n">
        <v>29</v>
      </c>
      <c r="F739" t="n">
        <v>1</v>
      </c>
      <c r="G739">
        <f>E739*F739</f>
        <v/>
      </c>
    </row>
    <row r="740">
      <c r="A740" t="inlineStr">
        <is>
          <t>Telur Omega</t>
        </is>
      </c>
      <c r="B740" t="inlineStr">
        <is>
          <t>Nasi Lemak 2 Sambal + Ayam Grilled</t>
        </is>
      </c>
      <c r="C740" t="inlineStr">
        <is>
          <t>2026-05</t>
        </is>
      </c>
      <c r="D740" t="inlineStr">
        <is>
          <t>PJ</t>
        </is>
      </c>
      <c r="E740" t="n">
        <v>137</v>
      </c>
      <c r="F740" t="n">
        <v>1</v>
      </c>
      <c r="G740">
        <f>E740*F740</f>
        <v/>
      </c>
    </row>
    <row r="741">
      <c r="A741" t="inlineStr">
        <is>
          <t>Telur Omega</t>
        </is>
      </c>
      <c r="B741" t="inlineStr">
        <is>
          <t>Nasi Lemak 2 Sambal + Ayam Grilled</t>
        </is>
      </c>
      <c r="C741" t="inlineStr">
        <is>
          <t>2026-05</t>
        </is>
      </c>
      <c r="D741" t="inlineStr">
        <is>
          <t>SA</t>
        </is>
      </c>
      <c r="E741" t="n">
        <v>22</v>
      </c>
      <c r="F741" t="n">
        <v>1</v>
      </c>
      <c r="G741">
        <f>E741*F741</f>
        <v/>
      </c>
    </row>
    <row r="742">
      <c r="A742" t="inlineStr">
        <is>
          <t>Telur Omega</t>
        </is>
      </c>
      <c r="B742" t="inlineStr">
        <is>
          <t>Nasi Lemak 2 Sambal + Ayam Grilled</t>
        </is>
      </c>
      <c r="C742" t="inlineStr">
        <is>
          <t>2026-05</t>
        </is>
      </c>
      <c r="D742" t="inlineStr">
        <is>
          <t>TAM</t>
        </is>
      </c>
      <c r="E742" t="n">
        <v>33</v>
      </c>
      <c r="F742" t="n">
        <v>1</v>
      </c>
      <c r="G742">
        <f>E742*F742</f>
        <v/>
      </c>
    </row>
    <row r="743">
      <c r="A743" t="inlineStr">
        <is>
          <t>Telur Omega</t>
        </is>
      </c>
      <c r="B743" t="inlineStr">
        <is>
          <t>Nasi Lemak 2 Sambal + Ayam Grilled</t>
        </is>
      </c>
      <c r="C743" t="inlineStr">
        <is>
          <t>2026-06</t>
        </is>
      </c>
      <c r="D743" t="inlineStr">
        <is>
          <t>PJ</t>
        </is>
      </c>
      <c r="E743" t="n">
        <v>80</v>
      </c>
      <c r="F743" t="n">
        <v>1</v>
      </c>
      <c r="G743">
        <f>E743*F743</f>
        <v/>
      </c>
    </row>
    <row r="744">
      <c r="A744" t="inlineStr">
        <is>
          <t>Telur Omega</t>
        </is>
      </c>
      <c r="B744" t="inlineStr">
        <is>
          <t>Nasi Lemak 2 Sambal + Ayam Grilled</t>
        </is>
      </c>
      <c r="C744" t="inlineStr">
        <is>
          <t>2026-06</t>
        </is>
      </c>
      <c r="D744" t="inlineStr">
        <is>
          <t>SA</t>
        </is>
      </c>
      <c r="E744" t="n">
        <v>36</v>
      </c>
      <c r="F744" t="n">
        <v>1</v>
      </c>
      <c r="G744">
        <f>E744*F744</f>
        <v/>
      </c>
    </row>
    <row r="745">
      <c r="A745" t="inlineStr">
        <is>
          <t>Telur Omega</t>
        </is>
      </c>
      <c r="B745" t="inlineStr">
        <is>
          <t>Nasi Lemak 2 Sambal + Ayam Grilled</t>
        </is>
      </c>
      <c r="C745" t="inlineStr">
        <is>
          <t>2026-06</t>
        </is>
      </c>
      <c r="D745" t="inlineStr">
        <is>
          <t>TAM</t>
        </is>
      </c>
      <c r="E745" t="n">
        <v>38</v>
      </c>
      <c r="F745" t="n">
        <v>1</v>
      </c>
      <c r="G745">
        <f>E745*F745</f>
        <v/>
      </c>
    </row>
    <row r="746">
      <c r="A746" t="inlineStr">
        <is>
          <t>Telur Omega</t>
        </is>
      </c>
      <c r="B746" t="inlineStr">
        <is>
          <t>Nasi Lemak 2 Sambal + Ayam Grilled</t>
        </is>
      </c>
      <c r="C746" t="inlineStr">
        <is>
          <t>2026-07</t>
        </is>
      </c>
      <c r="D746" t="inlineStr">
        <is>
          <t>PJ</t>
        </is>
      </c>
      <c r="E746" t="n">
        <v>88</v>
      </c>
      <c r="F746" t="n">
        <v>1</v>
      </c>
      <c r="G746">
        <f>E746*F746</f>
        <v/>
      </c>
    </row>
    <row r="747">
      <c r="A747" t="inlineStr">
        <is>
          <t>Telur Omega</t>
        </is>
      </c>
      <c r="B747" t="inlineStr">
        <is>
          <t>Nasi Lemak 2 Sambal + Ayam Grilled</t>
        </is>
      </c>
      <c r="C747" t="inlineStr">
        <is>
          <t>2026-07</t>
        </is>
      </c>
      <c r="D747" t="inlineStr">
        <is>
          <t>SA</t>
        </is>
      </c>
      <c r="E747" t="n">
        <v>32</v>
      </c>
      <c r="F747" t="n">
        <v>1</v>
      </c>
      <c r="G747">
        <f>E747*F747</f>
        <v/>
      </c>
    </row>
    <row r="748">
      <c r="A748" t="inlineStr">
        <is>
          <t>Telur Omega</t>
        </is>
      </c>
      <c r="B748" t="inlineStr">
        <is>
          <t>Nasi Lemak 2 Sambal + Ayam Grilled</t>
        </is>
      </c>
      <c r="C748" t="inlineStr">
        <is>
          <t>2026-07</t>
        </is>
      </c>
      <c r="D748" t="inlineStr">
        <is>
          <t>TAM</t>
        </is>
      </c>
      <c r="E748" t="n">
        <v>42</v>
      </c>
      <c r="F748" t="n">
        <v>1</v>
      </c>
      <c r="G748">
        <f>E748*F748</f>
        <v/>
      </c>
    </row>
    <row r="749">
      <c r="A749" t="inlineStr">
        <is>
          <t>Telur Omega</t>
        </is>
      </c>
      <c r="B749" t="inlineStr">
        <is>
          <t>Nasi Lemak 2 Sambal + Sambal Udang</t>
        </is>
      </c>
      <c r="C749" t="inlineStr">
        <is>
          <t>2026-04</t>
        </is>
      </c>
      <c r="D749" t="inlineStr">
        <is>
          <t>PJ</t>
        </is>
      </c>
      <c r="E749" t="n">
        <v>25</v>
      </c>
      <c r="F749" t="n">
        <v>1</v>
      </c>
      <c r="G749">
        <f>E749*F749</f>
        <v/>
      </c>
    </row>
    <row r="750">
      <c r="A750" t="inlineStr">
        <is>
          <t>Telur Omega</t>
        </is>
      </c>
      <c r="B750" t="inlineStr">
        <is>
          <t>Nasi Lemak 2 Sambal + Sambal Udang</t>
        </is>
      </c>
      <c r="C750" t="inlineStr">
        <is>
          <t>2026-04</t>
        </is>
      </c>
      <c r="D750" t="inlineStr">
        <is>
          <t>SA</t>
        </is>
      </c>
      <c r="E750" t="n">
        <v>9</v>
      </c>
      <c r="F750" t="n">
        <v>1</v>
      </c>
      <c r="G750">
        <f>E750*F750</f>
        <v/>
      </c>
    </row>
    <row r="751">
      <c r="A751" t="inlineStr">
        <is>
          <t>Telur Omega</t>
        </is>
      </c>
      <c r="B751" t="inlineStr">
        <is>
          <t>Nasi Lemak 2 Sambal + Sambal Udang</t>
        </is>
      </c>
      <c r="C751" t="inlineStr">
        <is>
          <t>2026-04</t>
        </is>
      </c>
      <c r="D751" t="inlineStr">
        <is>
          <t>TAM</t>
        </is>
      </c>
      <c r="E751" t="n">
        <v>15</v>
      </c>
      <c r="F751" t="n">
        <v>1</v>
      </c>
      <c r="G751">
        <f>E751*F751</f>
        <v/>
      </c>
    </row>
    <row r="752">
      <c r="A752" t="inlineStr">
        <is>
          <t>Telur Omega</t>
        </is>
      </c>
      <c r="B752" t="inlineStr">
        <is>
          <t>Nasi Lemak 2 Sambal + Sambal Udang</t>
        </is>
      </c>
      <c r="C752" t="inlineStr">
        <is>
          <t>2026-05</t>
        </is>
      </c>
      <c r="D752" t="inlineStr">
        <is>
          <t>PJ</t>
        </is>
      </c>
      <c r="E752" t="n">
        <v>30</v>
      </c>
      <c r="F752" t="n">
        <v>1</v>
      </c>
      <c r="G752">
        <f>E752*F752</f>
        <v/>
      </c>
    </row>
    <row r="753">
      <c r="A753" t="inlineStr">
        <is>
          <t>Telur Omega</t>
        </is>
      </c>
      <c r="B753" t="inlineStr">
        <is>
          <t>Nasi Lemak 2 Sambal + Sambal Udang</t>
        </is>
      </c>
      <c r="C753" t="inlineStr">
        <is>
          <t>2026-05</t>
        </is>
      </c>
      <c r="D753" t="inlineStr">
        <is>
          <t>SA</t>
        </is>
      </c>
      <c r="E753" t="n">
        <v>11</v>
      </c>
      <c r="F753" t="n">
        <v>1</v>
      </c>
      <c r="G753">
        <f>E753*F753</f>
        <v/>
      </c>
    </row>
    <row r="754">
      <c r="A754" t="inlineStr">
        <is>
          <t>Telur Omega</t>
        </is>
      </c>
      <c r="B754" t="inlineStr">
        <is>
          <t>Nasi Lemak 2 Sambal + Sambal Udang</t>
        </is>
      </c>
      <c r="C754" t="inlineStr">
        <is>
          <t>2026-05</t>
        </is>
      </c>
      <c r="D754" t="inlineStr">
        <is>
          <t>TAM</t>
        </is>
      </c>
      <c r="E754" t="n">
        <v>17</v>
      </c>
      <c r="F754" t="n">
        <v>1</v>
      </c>
      <c r="G754">
        <f>E754*F754</f>
        <v/>
      </c>
    </row>
    <row r="755">
      <c r="A755" t="inlineStr">
        <is>
          <t>Telur Omega</t>
        </is>
      </c>
      <c r="B755" t="inlineStr">
        <is>
          <t>Nasi Lemak 2 Sambal + Sambal Udang</t>
        </is>
      </c>
      <c r="C755" t="inlineStr">
        <is>
          <t>2026-06</t>
        </is>
      </c>
      <c r="D755" t="inlineStr">
        <is>
          <t>PJ</t>
        </is>
      </c>
      <c r="E755" t="n">
        <v>21</v>
      </c>
      <c r="F755" t="n">
        <v>1</v>
      </c>
      <c r="G755">
        <f>E755*F755</f>
        <v/>
      </c>
    </row>
    <row r="756">
      <c r="A756" t="inlineStr">
        <is>
          <t>Telur Omega</t>
        </is>
      </c>
      <c r="B756" t="inlineStr">
        <is>
          <t>Nasi Lemak 2 Sambal + Sambal Udang</t>
        </is>
      </c>
      <c r="C756" t="inlineStr">
        <is>
          <t>2026-06</t>
        </is>
      </c>
      <c r="D756" t="inlineStr">
        <is>
          <t>SA</t>
        </is>
      </c>
      <c r="E756" t="n">
        <v>11</v>
      </c>
      <c r="F756" t="n">
        <v>1</v>
      </c>
      <c r="G756">
        <f>E756*F756</f>
        <v/>
      </c>
    </row>
    <row r="757">
      <c r="A757" t="inlineStr">
        <is>
          <t>Telur Omega</t>
        </is>
      </c>
      <c r="B757" t="inlineStr">
        <is>
          <t>Nasi Lemak 2 Sambal + Sambal Udang</t>
        </is>
      </c>
      <c r="C757" t="inlineStr">
        <is>
          <t>2026-06</t>
        </is>
      </c>
      <c r="D757" t="inlineStr">
        <is>
          <t>TAM</t>
        </is>
      </c>
      <c r="E757" t="n">
        <v>11</v>
      </c>
      <c r="F757" t="n">
        <v>1</v>
      </c>
      <c r="G757">
        <f>E757*F757</f>
        <v/>
      </c>
    </row>
    <row r="758">
      <c r="A758" t="inlineStr">
        <is>
          <t>Telur Omega</t>
        </is>
      </c>
      <c r="B758" t="inlineStr">
        <is>
          <t>Nasi Lemak 2 Sambal + Sambal Udang</t>
        </is>
      </c>
      <c r="C758" t="inlineStr">
        <is>
          <t>2026-07</t>
        </is>
      </c>
      <c r="D758" t="inlineStr">
        <is>
          <t>PJ</t>
        </is>
      </c>
      <c r="E758" t="n">
        <v>29</v>
      </c>
      <c r="F758" t="n">
        <v>1</v>
      </c>
      <c r="G758">
        <f>E758*F758</f>
        <v/>
      </c>
    </row>
    <row r="759">
      <c r="A759" t="inlineStr">
        <is>
          <t>Telur Omega</t>
        </is>
      </c>
      <c r="B759" t="inlineStr">
        <is>
          <t>Nasi Lemak 2 Sambal + Sambal Udang</t>
        </is>
      </c>
      <c r="C759" t="inlineStr">
        <is>
          <t>2026-07</t>
        </is>
      </c>
      <c r="D759" t="inlineStr">
        <is>
          <t>SA</t>
        </is>
      </c>
      <c r="E759" t="n">
        <v>7</v>
      </c>
      <c r="F759" t="n">
        <v>1</v>
      </c>
      <c r="G759">
        <f>E759*F759</f>
        <v/>
      </c>
    </row>
    <row r="760">
      <c r="A760" t="inlineStr">
        <is>
          <t>Telur Omega</t>
        </is>
      </c>
      <c r="B760" t="inlineStr">
        <is>
          <t>Nasi Lemak 2 Sambal + Sambal Udang</t>
        </is>
      </c>
      <c r="C760" t="inlineStr">
        <is>
          <t>2026-07</t>
        </is>
      </c>
      <c r="D760" t="inlineStr">
        <is>
          <t>TAM</t>
        </is>
      </c>
      <c r="E760" t="n">
        <v>8</v>
      </c>
      <c r="F760" t="n">
        <v>1</v>
      </c>
      <c r="G760">
        <f>E760*F760</f>
        <v/>
      </c>
    </row>
    <row r="761">
      <c r="A761" t="inlineStr">
        <is>
          <t>Telur Omega</t>
        </is>
      </c>
      <c r="B761" t="inlineStr">
        <is>
          <t>Nasi Lemak 2 Sambal + Udang Crispy</t>
        </is>
      </c>
      <c r="C761" t="inlineStr">
        <is>
          <t>2026-04</t>
        </is>
      </c>
      <c r="D761" t="inlineStr">
        <is>
          <t>PJ</t>
        </is>
      </c>
      <c r="E761" t="n">
        <v>28</v>
      </c>
      <c r="F761" t="n">
        <v>1</v>
      </c>
      <c r="G761">
        <f>E761*F761</f>
        <v/>
      </c>
    </row>
    <row r="762">
      <c r="A762" t="inlineStr">
        <is>
          <t>Telur Omega</t>
        </is>
      </c>
      <c r="B762" t="inlineStr">
        <is>
          <t>Nasi Lemak 2 Sambal + Udang Crispy</t>
        </is>
      </c>
      <c r="C762" t="inlineStr">
        <is>
          <t>2026-04</t>
        </is>
      </c>
      <c r="D762" t="inlineStr">
        <is>
          <t>SA</t>
        </is>
      </c>
      <c r="E762" t="n">
        <v>11</v>
      </c>
      <c r="F762" t="n">
        <v>1</v>
      </c>
      <c r="G762">
        <f>E762*F762</f>
        <v/>
      </c>
    </row>
    <row r="763">
      <c r="A763" t="inlineStr">
        <is>
          <t>Telur Omega</t>
        </is>
      </c>
      <c r="B763" t="inlineStr">
        <is>
          <t>Nasi Lemak 2 Sambal + Udang Crispy</t>
        </is>
      </c>
      <c r="C763" t="inlineStr">
        <is>
          <t>2026-04</t>
        </is>
      </c>
      <c r="D763" t="inlineStr">
        <is>
          <t>TAM</t>
        </is>
      </c>
      <c r="E763" t="n">
        <v>8</v>
      </c>
      <c r="F763" t="n">
        <v>1</v>
      </c>
      <c r="G763">
        <f>E763*F763</f>
        <v/>
      </c>
    </row>
    <row r="764">
      <c r="A764" t="inlineStr">
        <is>
          <t>Telur Omega</t>
        </is>
      </c>
      <c r="B764" t="inlineStr">
        <is>
          <t>Nasi Lemak 2 Sambal + Udang Crispy</t>
        </is>
      </c>
      <c r="C764" t="inlineStr">
        <is>
          <t>2026-05</t>
        </is>
      </c>
      <c r="D764" t="inlineStr">
        <is>
          <t>PJ</t>
        </is>
      </c>
      <c r="E764" t="n">
        <v>19</v>
      </c>
      <c r="F764" t="n">
        <v>1</v>
      </c>
      <c r="G764">
        <f>E764*F764</f>
        <v/>
      </c>
    </row>
    <row r="765">
      <c r="A765" t="inlineStr">
        <is>
          <t>Telur Omega</t>
        </is>
      </c>
      <c r="B765" t="inlineStr">
        <is>
          <t>Nasi Lemak 2 Sambal + Udang Crispy</t>
        </is>
      </c>
      <c r="C765" t="inlineStr">
        <is>
          <t>2026-05</t>
        </is>
      </c>
      <c r="D765" t="inlineStr">
        <is>
          <t>SA</t>
        </is>
      </c>
      <c r="E765" t="n">
        <v>6</v>
      </c>
      <c r="F765" t="n">
        <v>1</v>
      </c>
      <c r="G765">
        <f>E765*F765</f>
        <v/>
      </c>
    </row>
    <row r="766">
      <c r="A766" t="inlineStr">
        <is>
          <t>Telur Omega</t>
        </is>
      </c>
      <c r="B766" t="inlineStr">
        <is>
          <t>Nasi Lemak 2 Sambal + Udang Crispy</t>
        </is>
      </c>
      <c r="C766" t="inlineStr">
        <is>
          <t>2026-05</t>
        </is>
      </c>
      <c r="D766" t="inlineStr">
        <is>
          <t>TAM</t>
        </is>
      </c>
      <c r="E766" t="n">
        <v>9</v>
      </c>
      <c r="F766" t="n">
        <v>1</v>
      </c>
      <c r="G766">
        <f>E766*F766</f>
        <v/>
      </c>
    </row>
    <row r="767">
      <c r="A767" t="inlineStr">
        <is>
          <t>Telur Omega</t>
        </is>
      </c>
      <c r="B767" t="inlineStr">
        <is>
          <t>Nasi Lemak 2 Sambal + Udang Crispy</t>
        </is>
      </c>
      <c r="C767" t="inlineStr">
        <is>
          <t>2026-06</t>
        </is>
      </c>
      <c r="D767" t="inlineStr">
        <is>
          <t>PJ</t>
        </is>
      </c>
      <c r="E767" t="n">
        <v>7</v>
      </c>
      <c r="F767" t="n">
        <v>1</v>
      </c>
      <c r="G767">
        <f>E767*F767</f>
        <v/>
      </c>
    </row>
    <row r="768">
      <c r="A768" t="inlineStr">
        <is>
          <t>Telur Omega</t>
        </is>
      </c>
      <c r="B768" t="inlineStr">
        <is>
          <t>Nasi Lemak 2 Sambal + Udang Crispy</t>
        </is>
      </c>
      <c r="C768" t="inlineStr">
        <is>
          <t>2026-06</t>
        </is>
      </c>
      <c r="D768" t="inlineStr">
        <is>
          <t>SA</t>
        </is>
      </c>
      <c r="E768" t="n">
        <v>4</v>
      </c>
      <c r="F768" t="n">
        <v>1</v>
      </c>
      <c r="G768">
        <f>E768*F768</f>
        <v/>
      </c>
    </row>
    <row r="769">
      <c r="A769" t="inlineStr">
        <is>
          <t>Telur Omega</t>
        </is>
      </c>
      <c r="B769" t="inlineStr">
        <is>
          <t>Nasi Lemak 2 Sambal + Udang Crispy</t>
        </is>
      </c>
      <c r="C769" t="inlineStr">
        <is>
          <t>2026-06</t>
        </is>
      </c>
      <c r="D769" t="inlineStr">
        <is>
          <t>TAM</t>
        </is>
      </c>
      <c r="E769" t="n">
        <v>9</v>
      </c>
      <c r="F769" t="n">
        <v>1</v>
      </c>
      <c r="G769">
        <f>E769*F769</f>
        <v/>
      </c>
    </row>
    <row r="770">
      <c r="A770" t="inlineStr">
        <is>
          <t>Telur Omega</t>
        </is>
      </c>
      <c r="B770" t="inlineStr">
        <is>
          <t>Nasi Lemak 2 Sambal + Udang Crispy</t>
        </is>
      </c>
      <c r="C770" t="inlineStr">
        <is>
          <t>2026-07</t>
        </is>
      </c>
      <c r="D770" t="inlineStr">
        <is>
          <t>PJ</t>
        </is>
      </c>
      <c r="E770" t="n">
        <v>10</v>
      </c>
      <c r="F770" t="n">
        <v>1</v>
      </c>
      <c r="G770">
        <f>E770*F770</f>
        <v/>
      </c>
    </row>
    <row r="771">
      <c r="A771" t="inlineStr">
        <is>
          <t>Telur Omega</t>
        </is>
      </c>
      <c r="B771" t="inlineStr">
        <is>
          <t>Nasi Lemak 2 Sambal + Udang Crispy</t>
        </is>
      </c>
      <c r="C771" t="inlineStr">
        <is>
          <t>2026-07</t>
        </is>
      </c>
      <c r="D771" t="inlineStr">
        <is>
          <t>SA</t>
        </is>
      </c>
      <c r="E771" t="n">
        <v>3</v>
      </c>
      <c r="F771" t="n">
        <v>1</v>
      </c>
      <c r="G771">
        <f>E771*F771</f>
        <v/>
      </c>
    </row>
    <row r="772">
      <c r="A772" t="inlineStr">
        <is>
          <t>Telur Omega</t>
        </is>
      </c>
      <c r="B772" t="inlineStr">
        <is>
          <t>Nasi Lemak 2 Sambal + Udang Crispy</t>
        </is>
      </c>
      <c r="C772" t="inlineStr">
        <is>
          <t>2026-07</t>
        </is>
      </c>
      <c r="D772" t="inlineStr">
        <is>
          <t>TAM</t>
        </is>
      </c>
      <c r="E772" t="n">
        <v>8</v>
      </c>
      <c r="F772" t="n">
        <v>1</v>
      </c>
      <c r="G772">
        <f>E772*F772</f>
        <v/>
      </c>
    </row>
    <row r="773">
      <c r="A773" t="inlineStr">
        <is>
          <t>Telur Omega</t>
        </is>
      </c>
      <c r="B773" t="inlineStr">
        <is>
          <t>Roti Bakar Brioche with Half Boiled Eggs</t>
        </is>
      </c>
      <c r="C773" t="inlineStr">
        <is>
          <t>2026-04</t>
        </is>
      </c>
      <c r="D773" t="inlineStr">
        <is>
          <t>PJ</t>
        </is>
      </c>
      <c r="E773" t="n">
        <v>153</v>
      </c>
      <c r="F773" t="n">
        <v>2</v>
      </c>
      <c r="G773">
        <f>E773*F773</f>
        <v/>
      </c>
    </row>
    <row r="774">
      <c r="A774" t="inlineStr">
        <is>
          <t>Telur Omega</t>
        </is>
      </c>
      <c r="B774" t="inlineStr">
        <is>
          <t>Roti Bakar Brioche with Half Boiled Eggs</t>
        </is>
      </c>
      <c r="C774" t="inlineStr">
        <is>
          <t>2026-04</t>
        </is>
      </c>
      <c r="D774" t="inlineStr">
        <is>
          <t>SA</t>
        </is>
      </c>
      <c r="E774" t="n">
        <v>127</v>
      </c>
      <c r="F774" t="n">
        <v>2</v>
      </c>
      <c r="G774">
        <f>E774*F774</f>
        <v/>
      </c>
    </row>
    <row r="775">
      <c r="A775" t="inlineStr">
        <is>
          <t>Telur Omega</t>
        </is>
      </c>
      <c r="B775" t="inlineStr">
        <is>
          <t>Roti Bakar Brioche with Half Boiled Eggs</t>
        </is>
      </c>
      <c r="C775" t="inlineStr">
        <is>
          <t>2026-04</t>
        </is>
      </c>
      <c r="D775" t="inlineStr">
        <is>
          <t>TAM</t>
        </is>
      </c>
      <c r="E775" t="n">
        <v>77</v>
      </c>
      <c r="F775" t="n">
        <v>2</v>
      </c>
      <c r="G775">
        <f>E775*F775</f>
        <v/>
      </c>
    </row>
    <row r="776">
      <c r="A776" t="inlineStr">
        <is>
          <t>Telur Omega</t>
        </is>
      </c>
      <c r="B776" t="inlineStr">
        <is>
          <t>Roti Bakar Brioche with Half Boiled Eggs</t>
        </is>
      </c>
      <c r="C776" t="inlineStr">
        <is>
          <t>2026-05</t>
        </is>
      </c>
      <c r="D776" t="inlineStr">
        <is>
          <t>PJ</t>
        </is>
      </c>
      <c r="E776" t="n">
        <v>210</v>
      </c>
      <c r="F776" t="n">
        <v>2</v>
      </c>
      <c r="G776">
        <f>E776*F776</f>
        <v/>
      </c>
    </row>
    <row r="777">
      <c r="A777" t="inlineStr">
        <is>
          <t>Telur Omega</t>
        </is>
      </c>
      <c r="B777" t="inlineStr">
        <is>
          <t>Roti Bakar Brioche with Half Boiled Eggs</t>
        </is>
      </c>
      <c r="C777" t="inlineStr">
        <is>
          <t>2026-05</t>
        </is>
      </c>
      <c r="D777" t="inlineStr">
        <is>
          <t>SA</t>
        </is>
      </c>
      <c r="E777" t="n">
        <v>134</v>
      </c>
      <c r="F777" t="n">
        <v>2</v>
      </c>
      <c r="G777">
        <f>E777*F777</f>
        <v/>
      </c>
    </row>
    <row r="778">
      <c r="A778" t="inlineStr">
        <is>
          <t>Telur Omega</t>
        </is>
      </c>
      <c r="B778" t="inlineStr">
        <is>
          <t>Roti Bakar Brioche with Half Boiled Eggs</t>
        </is>
      </c>
      <c r="C778" t="inlineStr">
        <is>
          <t>2026-05</t>
        </is>
      </c>
      <c r="D778" t="inlineStr">
        <is>
          <t>TAM</t>
        </is>
      </c>
      <c r="E778" t="n">
        <v>78</v>
      </c>
      <c r="F778" t="n">
        <v>2</v>
      </c>
      <c r="G778">
        <f>E778*F778</f>
        <v/>
      </c>
    </row>
    <row r="779">
      <c r="A779" t="inlineStr">
        <is>
          <t>Telur Omega</t>
        </is>
      </c>
      <c r="B779" t="inlineStr">
        <is>
          <t>Roti Bakar Brioche with Half Boiled Eggs</t>
        </is>
      </c>
      <c r="C779" t="inlineStr">
        <is>
          <t>2026-06</t>
        </is>
      </c>
      <c r="D779" t="inlineStr">
        <is>
          <t>PJ</t>
        </is>
      </c>
      <c r="E779" t="n">
        <v>195</v>
      </c>
      <c r="F779" t="n">
        <v>2</v>
      </c>
      <c r="G779">
        <f>E779*F779</f>
        <v/>
      </c>
    </row>
    <row r="780">
      <c r="A780" t="inlineStr">
        <is>
          <t>Telur Omega</t>
        </is>
      </c>
      <c r="B780" t="inlineStr">
        <is>
          <t>Roti Bakar Brioche with Half Boiled Eggs</t>
        </is>
      </c>
      <c r="C780" t="inlineStr">
        <is>
          <t>2026-06</t>
        </is>
      </c>
      <c r="D780" t="inlineStr">
        <is>
          <t>SA</t>
        </is>
      </c>
      <c r="E780" t="n">
        <v>112</v>
      </c>
      <c r="F780" t="n">
        <v>2</v>
      </c>
      <c r="G780">
        <f>E780*F780</f>
        <v/>
      </c>
    </row>
    <row r="781">
      <c r="A781" t="inlineStr">
        <is>
          <t>Telur Omega</t>
        </is>
      </c>
      <c r="B781" t="inlineStr">
        <is>
          <t>Roti Bakar Brioche with Half Boiled Eggs</t>
        </is>
      </c>
      <c r="C781" t="inlineStr">
        <is>
          <t>2026-06</t>
        </is>
      </c>
      <c r="D781" t="inlineStr">
        <is>
          <t>TAM</t>
        </is>
      </c>
      <c r="E781" t="n">
        <v>68</v>
      </c>
      <c r="F781" t="n">
        <v>2</v>
      </c>
      <c r="G781">
        <f>E781*F781</f>
        <v/>
      </c>
    </row>
    <row r="782">
      <c r="A782" t="inlineStr">
        <is>
          <t>Telur Omega</t>
        </is>
      </c>
      <c r="B782" t="inlineStr">
        <is>
          <t>Roti Bakar Brioche with Half Boiled Eggs</t>
        </is>
      </c>
      <c r="C782" t="inlineStr">
        <is>
          <t>2026-07</t>
        </is>
      </c>
      <c r="D782" t="inlineStr">
        <is>
          <t>PJ</t>
        </is>
      </c>
      <c r="E782" t="n">
        <v>196</v>
      </c>
      <c r="F782" t="n">
        <v>2</v>
      </c>
      <c r="G782">
        <f>E782*F782</f>
        <v/>
      </c>
    </row>
    <row r="783">
      <c r="A783" t="inlineStr">
        <is>
          <t>Telur Omega</t>
        </is>
      </c>
      <c r="B783" t="inlineStr">
        <is>
          <t>Roti Bakar Brioche with Half Boiled Eggs</t>
        </is>
      </c>
      <c r="C783" t="inlineStr">
        <is>
          <t>2026-07</t>
        </is>
      </c>
      <c r="D783" t="inlineStr">
        <is>
          <t>SA</t>
        </is>
      </c>
      <c r="E783" t="n">
        <v>110</v>
      </c>
      <c r="F783" t="n">
        <v>2</v>
      </c>
      <c r="G783">
        <f>E783*F783</f>
        <v/>
      </c>
    </row>
    <row r="784">
      <c r="A784" t="inlineStr">
        <is>
          <t>Telur Omega</t>
        </is>
      </c>
      <c r="B784" t="inlineStr">
        <is>
          <t>Roti Bakar Brioche with Half Boiled Eggs</t>
        </is>
      </c>
      <c r="C784" t="inlineStr">
        <is>
          <t>2026-07</t>
        </is>
      </c>
      <c r="D784" t="inlineStr">
        <is>
          <t>TAM</t>
        </is>
      </c>
      <c r="E784" t="n">
        <v>84</v>
      </c>
      <c r="F784" t="n">
        <v>2</v>
      </c>
      <c r="G784">
        <f>E784*F784</f>
        <v/>
      </c>
    </row>
    <row r="785">
      <c r="A785" t="inlineStr">
        <is>
          <t>Telur Omega</t>
        </is>
      </c>
      <c r="B785" t="inlineStr">
        <is>
          <t>Samyang Pasta</t>
        </is>
      </c>
      <c r="C785" t="inlineStr">
        <is>
          <t>2026-04</t>
        </is>
      </c>
      <c r="D785" t="inlineStr">
        <is>
          <t>PJ</t>
        </is>
      </c>
      <c r="E785" t="n">
        <v>37</v>
      </c>
      <c r="F785" t="n">
        <v>1</v>
      </c>
      <c r="G785">
        <f>E785*F785</f>
        <v/>
      </c>
    </row>
    <row r="786">
      <c r="A786" t="inlineStr">
        <is>
          <t>Telur Omega</t>
        </is>
      </c>
      <c r="B786" t="inlineStr">
        <is>
          <t>Samyang Pasta</t>
        </is>
      </c>
      <c r="C786" t="inlineStr">
        <is>
          <t>2026-04</t>
        </is>
      </c>
      <c r="D786" t="inlineStr">
        <is>
          <t>SA</t>
        </is>
      </c>
      <c r="E786" t="n">
        <v>33</v>
      </c>
      <c r="F786" t="n">
        <v>1</v>
      </c>
      <c r="G786">
        <f>E786*F786</f>
        <v/>
      </c>
    </row>
    <row r="787">
      <c r="A787" t="inlineStr">
        <is>
          <t>Telur Omega</t>
        </is>
      </c>
      <c r="B787" t="inlineStr">
        <is>
          <t>Samyang Pasta</t>
        </is>
      </c>
      <c r="C787" t="inlineStr">
        <is>
          <t>2026-04</t>
        </is>
      </c>
      <c r="D787" t="inlineStr">
        <is>
          <t>TAM</t>
        </is>
      </c>
      <c r="E787" t="n">
        <v>15</v>
      </c>
      <c r="F787" t="n">
        <v>1</v>
      </c>
      <c r="G787">
        <f>E787*F787</f>
        <v/>
      </c>
    </row>
    <row r="788">
      <c r="A788" t="inlineStr">
        <is>
          <t>Telur Omega</t>
        </is>
      </c>
      <c r="B788" t="inlineStr">
        <is>
          <t>Samyang Pasta</t>
        </is>
      </c>
      <c r="C788" t="inlineStr">
        <is>
          <t>2026-05</t>
        </is>
      </c>
      <c r="D788" t="inlineStr">
        <is>
          <t>PJ</t>
        </is>
      </c>
      <c r="E788" t="n">
        <v>34</v>
      </c>
      <c r="F788" t="n">
        <v>1</v>
      </c>
      <c r="G788">
        <f>E788*F788</f>
        <v/>
      </c>
    </row>
    <row r="789">
      <c r="A789" t="inlineStr">
        <is>
          <t>Telur Omega</t>
        </is>
      </c>
      <c r="B789" t="inlineStr">
        <is>
          <t>Samyang Pasta</t>
        </is>
      </c>
      <c r="C789" t="inlineStr">
        <is>
          <t>2026-05</t>
        </is>
      </c>
      <c r="D789" t="inlineStr">
        <is>
          <t>SA</t>
        </is>
      </c>
      <c r="E789" t="n">
        <v>42</v>
      </c>
      <c r="F789" t="n">
        <v>1</v>
      </c>
      <c r="G789">
        <f>E789*F789</f>
        <v/>
      </c>
    </row>
    <row r="790">
      <c r="A790" t="inlineStr">
        <is>
          <t>Telur Omega</t>
        </is>
      </c>
      <c r="B790" t="inlineStr">
        <is>
          <t>Samyang Pasta</t>
        </is>
      </c>
      <c r="C790" t="inlineStr">
        <is>
          <t>2026-05</t>
        </is>
      </c>
      <c r="D790" t="inlineStr">
        <is>
          <t>TAM</t>
        </is>
      </c>
      <c r="E790" t="n">
        <v>13</v>
      </c>
      <c r="F790" t="n">
        <v>1</v>
      </c>
      <c r="G790">
        <f>E790*F790</f>
        <v/>
      </c>
    </row>
    <row r="791">
      <c r="A791" t="inlineStr">
        <is>
          <t>Telur Omega</t>
        </is>
      </c>
      <c r="B791" t="inlineStr">
        <is>
          <t>Samyang Pasta</t>
        </is>
      </c>
      <c r="C791" t="inlineStr">
        <is>
          <t>2026-06</t>
        </is>
      </c>
      <c r="D791" t="inlineStr">
        <is>
          <t>PJ</t>
        </is>
      </c>
      <c r="E791" t="n">
        <v>25</v>
      </c>
      <c r="F791" t="n">
        <v>1</v>
      </c>
      <c r="G791">
        <f>E791*F791</f>
        <v/>
      </c>
    </row>
    <row r="792">
      <c r="A792" t="inlineStr">
        <is>
          <t>Telur Omega</t>
        </is>
      </c>
      <c r="B792" t="inlineStr">
        <is>
          <t>Samyang Pasta</t>
        </is>
      </c>
      <c r="C792" t="inlineStr">
        <is>
          <t>2026-06</t>
        </is>
      </c>
      <c r="D792" t="inlineStr">
        <is>
          <t>SA</t>
        </is>
      </c>
      <c r="E792" t="n">
        <v>18</v>
      </c>
      <c r="F792" t="n">
        <v>1</v>
      </c>
      <c r="G792">
        <f>E792*F792</f>
        <v/>
      </c>
    </row>
    <row r="793">
      <c r="A793" t="inlineStr">
        <is>
          <t>Telur Omega</t>
        </is>
      </c>
      <c r="B793" t="inlineStr">
        <is>
          <t>Samyang Pasta</t>
        </is>
      </c>
      <c r="C793" t="inlineStr">
        <is>
          <t>2026-06</t>
        </is>
      </c>
      <c r="D793" t="inlineStr">
        <is>
          <t>TAM</t>
        </is>
      </c>
      <c r="E793" t="n">
        <v>1</v>
      </c>
      <c r="F793" t="n">
        <v>1</v>
      </c>
      <c r="G793">
        <f>E793*F793</f>
        <v/>
      </c>
    </row>
    <row r="794">
      <c r="A794" t="inlineStr">
        <is>
          <t>Telur Omega</t>
        </is>
      </c>
      <c r="B794" t="inlineStr">
        <is>
          <t>Samyang Pasta</t>
        </is>
      </c>
      <c r="C794" t="inlineStr">
        <is>
          <t>2026-07</t>
        </is>
      </c>
      <c r="D794" t="inlineStr">
        <is>
          <t>PJ</t>
        </is>
      </c>
      <c r="E794" t="n">
        <v>19</v>
      </c>
      <c r="F794" t="n">
        <v>1</v>
      </c>
      <c r="G794">
        <f>E794*F794</f>
        <v/>
      </c>
    </row>
    <row r="795">
      <c r="A795" t="inlineStr">
        <is>
          <t>Telur Omega</t>
        </is>
      </c>
      <c r="B795" t="inlineStr">
        <is>
          <t>Samyang Pasta</t>
        </is>
      </c>
      <c r="C795" t="inlineStr">
        <is>
          <t>2026-07</t>
        </is>
      </c>
      <c r="D795" t="inlineStr">
        <is>
          <t>SA</t>
        </is>
      </c>
      <c r="E795" t="n">
        <v>15</v>
      </c>
      <c r="F795" t="n">
        <v>1</v>
      </c>
      <c r="G795">
        <f>E795*F795</f>
        <v/>
      </c>
    </row>
    <row r="796">
      <c r="A796" t="inlineStr">
        <is>
          <t>Telur Omega</t>
        </is>
      </c>
      <c r="B796" t="inlineStr">
        <is>
          <t>Samyang Pasta</t>
        </is>
      </c>
      <c r="C796" t="inlineStr">
        <is>
          <t>2026-07</t>
        </is>
      </c>
      <c r="D796" t="inlineStr">
        <is>
          <t>TAM</t>
        </is>
      </c>
      <c r="E796" t="n">
        <v>10</v>
      </c>
      <c r="F796" t="n">
        <v>1</v>
      </c>
      <c r="G796">
        <f>E796*F796</f>
        <v/>
      </c>
    </row>
    <row r="797">
      <c r="A797" t="inlineStr">
        <is>
          <t>Udang</t>
        </is>
      </c>
      <c r="B797" t="inlineStr">
        <is>
          <t>Bihun Kari</t>
        </is>
      </c>
      <c r="C797" t="inlineStr">
        <is>
          <t>2026-04</t>
        </is>
      </c>
      <c r="D797" t="inlineStr">
        <is>
          <t>PJ</t>
        </is>
      </c>
      <c r="E797" t="n">
        <v>11</v>
      </c>
      <c r="F797" t="n">
        <v>80</v>
      </c>
      <c r="G797">
        <f>E797*F797</f>
        <v/>
      </c>
    </row>
    <row r="798">
      <c r="A798" t="inlineStr">
        <is>
          <t>Udang</t>
        </is>
      </c>
      <c r="B798" t="inlineStr">
        <is>
          <t>Bihun Kari</t>
        </is>
      </c>
      <c r="C798" t="inlineStr">
        <is>
          <t>2026-04</t>
        </is>
      </c>
      <c r="D798" t="inlineStr">
        <is>
          <t>SA</t>
        </is>
      </c>
      <c r="E798" t="n">
        <v>4</v>
      </c>
      <c r="F798" t="n">
        <v>80</v>
      </c>
      <c r="G798">
        <f>E798*F798</f>
        <v/>
      </c>
    </row>
    <row r="799">
      <c r="A799" t="inlineStr">
        <is>
          <t>Udang</t>
        </is>
      </c>
      <c r="B799" t="inlineStr">
        <is>
          <t>Bihun Kari</t>
        </is>
      </c>
      <c r="C799" t="inlineStr">
        <is>
          <t>2026-05</t>
        </is>
      </c>
      <c r="D799" t="inlineStr">
        <is>
          <t>PJ</t>
        </is>
      </c>
      <c r="E799" t="n">
        <v>11</v>
      </c>
      <c r="F799" t="n">
        <v>80</v>
      </c>
      <c r="G799">
        <f>E799*F799</f>
        <v/>
      </c>
    </row>
    <row r="800">
      <c r="A800" t="inlineStr">
        <is>
          <t>Udang</t>
        </is>
      </c>
      <c r="B800" t="inlineStr">
        <is>
          <t>Bihun Kari</t>
        </is>
      </c>
      <c r="C800" t="inlineStr">
        <is>
          <t>2026-05</t>
        </is>
      </c>
      <c r="D800" t="inlineStr">
        <is>
          <t>SA</t>
        </is>
      </c>
      <c r="E800" t="n">
        <v>11</v>
      </c>
      <c r="F800" t="n">
        <v>80</v>
      </c>
      <c r="G800">
        <f>E800*F800</f>
        <v/>
      </c>
    </row>
    <row r="801">
      <c r="A801" t="inlineStr">
        <is>
          <t>Udang</t>
        </is>
      </c>
      <c r="B801" t="inlineStr">
        <is>
          <t>Bihun Kari</t>
        </is>
      </c>
      <c r="C801" t="inlineStr">
        <is>
          <t>2026-06</t>
        </is>
      </c>
      <c r="D801" t="inlineStr">
        <is>
          <t>PJ</t>
        </is>
      </c>
      <c r="E801" t="n">
        <v>13</v>
      </c>
      <c r="F801" t="n">
        <v>80</v>
      </c>
      <c r="G801">
        <f>E801*F801</f>
        <v/>
      </c>
    </row>
    <row r="802">
      <c r="A802" t="inlineStr">
        <is>
          <t>Udang</t>
        </is>
      </c>
      <c r="B802" t="inlineStr">
        <is>
          <t>Bihun Kari</t>
        </is>
      </c>
      <c r="C802" t="inlineStr">
        <is>
          <t>2026-06</t>
        </is>
      </c>
      <c r="D802" t="inlineStr">
        <is>
          <t>SA</t>
        </is>
      </c>
      <c r="E802" t="n">
        <v>7</v>
      </c>
      <c r="F802" t="n">
        <v>80</v>
      </c>
      <c r="G802">
        <f>E802*F802</f>
        <v/>
      </c>
    </row>
    <row r="803">
      <c r="A803" t="inlineStr">
        <is>
          <t>Udang</t>
        </is>
      </c>
      <c r="B803" t="inlineStr">
        <is>
          <t>Bihun Kari</t>
        </is>
      </c>
      <c r="C803" t="inlineStr">
        <is>
          <t>2026-07</t>
        </is>
      </c>
      <c r="D803" t="inlineStr">
        <is>
          <t>PJ</t>
        </is>
      </c>
      <c r="E803" t="n">
        <v>13</v>
      </c>
      <c r="F803" t="n">
        <v>80</v>
      </c>
      <c r="G803">
        <f>E803*F803</f>
        <v/>
      </c>
    </row>
    <row r="804">
      <c r="A804" t="inlineStr">
        <is>
          <t>Udang</t>
        </is>
      </c>
      <c r="B804" t="inlineStr">
        <is>
          <t>Bihun Kari</t>
        </is>
      </c>
      <c r="C804" t="inlineStr">
        <is>
          <t>2026-07</t>
        </is>
      </c>
      <c r="D804" t="inlineStr">
        <is>
          <t>SA</t>
        </is>
      </c>
      <c r="E804" t="n">
        <v>10</v>
      </c>
      <c r="F804" t="n">
        <v>80</v>
      </c>
      <c r="G804">
        <f>E804*F804</f>
        <v/>
      </c>
    </row>
    <row r="805">
      <c r="A805" t="inlineStr">
        <is>
          <t>Udang</t>
        </is>
      </c>
      <c r="B805" t="inlineStr">
        <is>
          <t>Bihun Kari</t>
        </is>
      </c>
      <c r="C805" t="inlineStr">
        <is>
          <t>2026-07</t>
        </is>
      </c>
      <c r="D805" t="inlineStr">
        <is>
          <t>TAM</t>
        </is>
      </c>
      <c r="E805" t="n">
        <v>7</v>
      </c>
      <c r="F805" t="n">
        <v>80</v>
      </c>
      <c r="G805">
        <f>E805*F805</f>
        <v/>
      </c>
    </row>
    <row r="806">
      <c r="A806" t="inlineStr">
        <is>
          <t>Udang</t>
        </is>
      </c>
      <c r="B806" t="inlineStr">
        <is>
          <t>Bihun Kari Asam</t>
        </is>
      </c>
      <c r="C806" t="inlineStr">
        <is>
          <t>2026-04</t>
        </is>
      </c>
      <c r="D806" t="inlineStr">
        <is>
          <t>PJ</t>
        </is>
      </c>
      <c r="E806" t="n">
        <v>4</v>
      </c>
      <c r="F806" t="n">
        <v>80</v>
      </c>
      <c r="G806">
        <f>E806*F806</f>
        <v/>
      </c>
    </row>
    <row r="807">
      <c r="A807" t="inlineStr">
        <is>
          <t>Udang</t>
        </is>
      </c>
      <c r="B807" t="inlineStr">
        <is>
          <t>Bihun Kari Asam</t>
        </is>
      </c>
      <c r="C807" t="inlineStr">
        <is>
          <t>2026-04</t>
        </is>
      </c>
      <c r="D807" t="inlineStr">
        <is>
          <t>SA</t>
        </is>
      </c>
      <c r="E807" t="n">
        <v>1</v>
      </c>
      <c r="F807" t="n">
        <v>80</v>
      </c>
      <c r="G807">
        <f>E807*F807</f>
        <v/>
      </c>
    </row>
    <row r="808">
      <c r="A808" t="inlineStr">
        <is>
          <t>Udang</t>
        </is>
      </c>
      <c r="B808" t="inlineStr">
        <is>
          <t>Bihun Kari Asam</t>
        </is>
      </c>
      <c r="C808" t="inlineStr">
        <is>
          <t>2026-05</t>
        </is>
      </c>
      <c r="D808" t="inlineStr">
        <is>
          <t>PJ</t>
        </is>
      </c>
      <c r="E808" t="n">
        <v>5</v>
      </c>
      <c r="F808" t="n">
        <v>80</v>
      </c>
      <c r="G808">
        <f>E808*F808</f>
        <v/>
      </c>
    </row>
    <row r="809">
      <c r="A809" t="inlineStr">
        <is>
          <t>Udang</t>
        </is>
      </c>
      <c r="B809" t="inlineStr">
        <is>
          <t>Bihun Kari Asam</t>
        </is>
      </c>
      <c r="C809" t="inlineStr">
        <is>
          <t>2026-05</t>
        </is>
      </c>
      <c r="D809" t="inlineStr">
        <is>
          <t>SA</t>
        </is>
      </c>
      <c r="E809" t="n">
        <v>2</v>
      </c>
      <c r="F809" t="n">
        <v>80</v>
      </c>
      <c r="G809">
        <f>E809*F809</f>
        <v/>
      </c>
    </row>
    <row r="810">
      <c r="A810" t="inlineStr">
        <is>
          <t>Udang</t>
        </is>
      </c>
      <c r="B810" t="inlineStr">
        <is>
          <t>Bihun Kari Asam</t>
        </is>
      </c>
      <c r="C810" t="inlineStr">
        <is>
          <t>2026-06</t>
        </is>
      </c>
      <c r="D810" t="inlineStr">
        <is>
          <t>PJ</t>
        </is>
      </c>
      <c r="E810" t="n">
        <v>3</v>
      </c>
      <c r="F810" t="n">
        <v>80</v>
      </c>
      <c r="G810">
        <f>E810*F810</f>
        <v/>
      </c>
    </row>
    <row r="811">
      <c r="A811" t="inlineStr">
        <is>
          <t>Udang</t>
        </is>
      </c>
      <c r="B811" t="inlineStr">
        <is>
          <t>Bihun Kari Asam</t>
        </is>
      </c>
      <c r="C811" t="inlineStr">
        <is>
          <t>2026-06</t>
        </is>
      </c>
      <c r="D811" t="inlineStr">
        <is>
          <t>SA</t>
        </is>
      </c>
      <c r="E811" t="n">
        <v>1</v>
      </c>
      <c r="F811" t="n">
        <v>80</v>
      </c>
      <c r="G811">
        <f>E811*F811</f>
        <v/>
      </c>
    </row>
    <row r="812">
      <c r="A812" t="inlineStr">
        <is>
          <t>Udang</t>
        </is>
      </c>
      <c r="B812" t="inlineStr">
        <is>
          <t>Bihun Kari Asam</t>
        </is>
      </c>
      <c r="C812" t="inlineStr">
        <is>
          <t>2026-07</t>
        </is>
      </c>
      <c r="D812" t="inlineStr">
        <is>
          <t>PJ</t>
        </is>
      </c>
      <c r="E812" t="n">
        <v>7</v>
      </c>
      <c r="F812" t="n">
        <v>80</v>
      </c>
      <c r="G812">
        <f>E812*F812</f>
        <v/>
      </c>
    </row>
    <row r="813">
      <c r="A813" t="inlineStr">
        <is>
          <t>Udang</t>
        </is>
      </c>
      <c r="B813" t="inlineStr">
        <is>
          <t>Bihun Kari Asam</t>
        </is>
      </c>
      <c r="C813" t="inlineStr">
        <is>
          <t>2026-07</t>
        </is>
      </c>
      <c r="D813" t="inlineStr">
        <is>
          <t>SA</t>
        </is>
      </c>
      <c r="E813" t="n">
        <v>3</v>
      </c>
      <c r="F813" t="n">
        <v>80</v>
      </c>
      <c r="G813">
        <f>E813*F813</f>
        <v/>
      </c>
    </row>
    <row r="814">
      <c r="A814" t="inlineStr">
        <is>
          <t>Udang</t>
        </is>
      </c>
      <c r="B814" t="inlineStr">
        <is>
          <t>Bihun Kari Asam</t>
        </is>
      </c>
      <c r="C814" t="inlineStr">
        <is>
          <t>2026-07</t>
        </is>
      </c>
      <c r="D814" t="inlineStr">
        <is>
          <t>TAM</t>
        </is>
      </c>
      <c r="E814" t="n">
        <v>1</v>
      </c>
      <c r="F814" t="n">
        <v>80</v>
      </c>
      <c r="G814">
        <f>E814*F814</f>
        <v/>
      </c>
    </row>
    <row r="815">
      <c r="A815" t="inlineStr">
        <is>
          <t>Udang</t>
        </is>
      </c>
      <c r="B815" t="inlineStr">
        <is>
          <t>Mee Kari</t>
        </is>
      </c>
      <c r="C815" t="inlineStr">
        <is>
          <t>2026-04</t>
        </is>
      </c>
      <c r="D815" t="inlineStr">
        <is>
          <t>PJ</t>
        </is>
      </c>
      <c r="E815" t="n">
        <v>18</v>
      </c>
      <c r="F815" t="n">
        <v>80</v>
      </c>
      <c r="G815">
        <f>E815*F815</f>
        <v/>
      </c>
    </row>
    <row r="816">
      <c r="A816" t="inlineStr">
        <is>
          <t>Udang</t>
        </is>
      </c>
      <c r="B816" t="inlineStr">
        <is>
          <t>Mee Kari</t>
        </is>
      </c>
      <c r="C816" t="inlineStr">
        <is>
          <t>2026-04</t>
        </is>
      </c>
      <c r="D816" t="inlineStr">
        <is>
          <t>SA</t>
        </is>
      </c>
      <c r="E816" t="n">
        <v>37</v>
      </c>
      <c r="F816" t="n">
        <v>80</v>
      </c>
      <c r="G816">
        <f>E816*F816</f>
        <v/>
      </c>
    </row>
    <row r="817">
      <c r="A817" t="inlineStr">
        <is>
          <t>Udang</t>
        </is>
      </c>
      <c r="B817" t="inlineStr">
        <is>
          <t>Mee Kari</t>
        </is>
      </c>
      <c r="C817" t="inlineStr">
        <is>
          <t>2026-05</t>
        </is>
      </c>
      <c r="D817" t="inlineStr">
        <is>
          <t>PJ</t>
        </is>
      </c>
      <c r="E817" t="n">
        <v>52</v>
      </c>
      <c r="F817" t="n">
        <v>80</v>
      </c>
      <c r="G817">
        <f>E817*F817</f>
        <v/>
      </c>
    </row>
    <row r="818">
      <c r="A818" t="inlineStr">
        <is>
          <t>Udang</t>
        </is>
      </c>
      <c r="B818" t="inlineStr">
        <is>
          <t>Mee Kari</t>
        </is>
      </c>
      <c r="C818" t="inlineStr">
        <is>
          <t>2026-05</t>
        </is>
      </c>
      <c r="D818" t="inlineStr">
        <is>
          <t>SA</t>
        </is>
      </c>
      <c r="E818" t="n">
        <v>35</v>
      </c>
      <c r="F818" t="n">
        <v>80</v>
      </c>
      <c r="G818">
        <f>E818*F818</f>
        <v/>
      </c>
    </row>
    <row r="819">
      <c r="A819" t="inlineStr">
        <is>
          <t>Udang</t>
        </is>
      </c>
      <c r="B819" t="inlineStr">
        <is>
          <t>Mee Kari</t>
        </is>
      </c>
      <c r="C819" t="inlineStr">
        <is>
          <t>2026-06</t>
        </is>
      </c>
      <c r="D819" t="inlineStr">
        <is>
          <t>PJ</t>
        </is>
      </c>
      <c r="E819" t="n">
        <v>29</v>
      </c>
      <c r="F819" t="n">
        <v>80</v>
      </c>
      <c r="G819">
        <f>E819*F819</f>
        <v/>
      </c>
    </row>
    <row r="820">
      <c r="A820" t="inlineStr">
        <is>
          <t>Udang</t>
        </is>
      </c>
      <c r="B820" t="inlineStr">
        <is>
          <t>Mee Kari</t>
        </is>
      </c>
      <c r="C820" t="inlineStr">
        <is>
          <t>2026-06</t>
        </is>
      </c>
      <c r="D820" t="inlineStr">
        <is>
          <t>SA</t>
        </is>
      </c>
      <c r="E820" t="n">
        <v>31</v>
      </c>
      <c r="F820" t="n">
        <v>80</v>
      </c>
      <c r="G820">
        <f>E820*F820</f>
        <v/>
      </c>
    </row>
    <row r="821">
      <c r="A821" t="inlineStr">
        <is>
          <t>Udang</t>
        </is>
      </c>
      <c r="B821" t="inlineStr">
        <is>
          <t>Mee Kari</t>
        </is>
      </c>
      <c r="C821" t="inlineStr">
        <is>
          <t>2026-06</t>
        </is>
      </c>
      <c r="D821" t="inlineStr">
        <is>
          <t>TAM</t>
        </is>
      </c>
      <c r="E821" t="n">
        <v>15</v>
      </c>
      <c r="F821" t="n">
        <v>80</v>
      </c>
      <c r="G821">
        <f>E821*F821</f>
        <v/>
      </c>
    </row>
    <row r="822">
      <c r="A822" t="inlineStr">
        <is>
          <t>Udang</t>
        </is>
      </c>
      <c r="B822" t="inlineStr">
        <is>
          <t>Mee Kari</t>
        </is>
      </c>
      <c r="C822" t="inlineStr">
        <is>
          <t>2026-07</t>
        </is>
      </c>
      <c r="D822" t="inlineStr">
        <is>
          <t>PJ</t>
        </is>
      </c>
      <c r="E822" t="n">
        <v>38</v>
      </c>
      <c r="F822" t="n">
        <v>80</v>
      </c>
      <c r="G822">
        <f>E822*F822</f>
        <v/>
      </c>
    </row>
    <row r="823">
      <c r="A823" t="inlineStr">
        <is>
          <t>Udang</t>
        </is>
      </c>
      <c r="B823" t="inlineStr">
        <is>
          <t>Mee Kari</t>
        </is>
      </c>
      <c r="C823" t="inlineStr">
        <is>
          <t>2026-07</t>
        </is>
      </c>
      <c r="D823" t="inlineStr">
        <is>
          <t>SA</t>
        </is>
      </c>
      <c r="E823" t="n">
        <v>21</v>
      </c>
      <c r="F823" t="n">
        <v>80</v>
      </c>
      <c r="G823">
        <f>E823*F823</f>
        <v/>
      </c>
    </row>
    <row r="824">
      <c r="A824" t="inlineStr">
        <is>
          <t>Udang</t>
        </is>
      </c>
      <c r="B824" t="inlineStr">
        <is>
          <t>Mee Kari</t>
        </is>
      </c>
      <c r="C824" t="inlineStr">
        <is>
          <t>2026-07</t>
        </is>
      </c>
      <c r="D824" t="inlineStr">
        <is>
          <t>TAM</t>
        </is>
      </c>
      <c r="E824" t="n">
        <v>16</v>
      </c>
      <c r="F824" t="n">
        <v>80</v>
      </c>
      <c r="G824">
        <f>E824*F824</f>
        <v/>
      </c>
    </row>
    <row r="825">
      <c r="A825" t="inlineStr">
        <is>
          <t>Udang</t>
        </is>
      </c>
      <c r="B825" t="inlineStr">
        <is>
          <t>Mee Kari Asam</t>
        </is>
      </c>
      <c r="C825" t="inlineStr">
        <is>
          <t>2026-04</t>
        </is>
      </c>
      <c r="D825" t="inlineStr">
        <is>
          <t>PJ</t>
        </is>
      </c>
      <c r="E825" t="n">
        <v>2</v>
      </c>
      <c r="F825" t="n">
        <v>80</v>
      </c>
      <c r="G825">
        <f>E825*F825</f>
        <v/>
      </c>
    </row>
    <row r="826">
      <c r="A826" t="inlineStr">
        <is>
          <t>Udang</t>
        </is>
      </c>
      <c r="B826" t="inlineStr">
        <is>
          <t>Mee Kari Asam</t>
        </is>
      </c>
      <c r="C826" t="inlineStr">
        <is>
          <t>2026-04</t>
        </is>
      </c>
      <c r="D826" t="inlineStr">
        <is>
          <t>SA</t>
        </is>
      </c>
      <c r="E826" t="n">
        <v>4</v>
      </c>
      <c r="F826" t="n">
        <v>80</v>
      </c>
      <c r="G826">
        <f>E826*F826</f>
        <v/>
      </c>
    </row>
    <row r="827">
      <c r="A827" t="inlineStr">
        <is>
          <t>Udang</t>
        </is>
      </c>
      <c r="B827" t="inlineStr">
        <is>
          <t>Mee Kari Asam</t>
        </is>
      </c>
      <c r="C827" t="inlineStr">
        <is>
          <t>2026-05</t>
        </is>
      </c>
      <c r="D827" t="inlineStr">
        <is>
          <t>PJ</t>
        </is>
      </c>
      <c r="E827" t="n">
        <v>11</v>
      </c>
      <c r="F827" t="n">
        <v>80</v>
      </c>
      <c r="G827">
        <f>E827*F827</f>
        <v/>
      </c>
    </row>
    <row r="828">
      <c r="A828" t="inlineStr">
        <is>
          <t>Udang</t>
        </is>
      </c>
      <c r="B828" t="inlineStr">
        <is>
          <t>Mee Kari Asam</t>
        </is>
      </c>
      <c r="C828" t="inlineStr">
        <is>
          <t>2026-05</t>
        </is>
      </c>
      <c r="D828" t="inlineStr">
        <is>
          <t>SA</t>
        </is>
      </c>
      <c r="E828" t="n">
        <v>1</v>
      </c>
      <c r="F828" t="n">
        <v>80</v>
      </c>
      <c r="G828">
        <f>E828*F828</f>
        <v/>
      </c>
    </row>
    <row r="829">
      <c r="A829" t="inlineStr">
        <is>
          <t>Udang</t>
        </is>
      </c>
      <c r="B829" t="inlineStr">
        <is>
          <t>Mee Kari Asam</t>
        </is>
      </c>
      <c r="C829" t="inlineStr">
        <is>
          <t>2026-06</t>
        </is>
      </c>
      <c r="D829" t="inlineStr">
        <is>
          <t>PJ</t>
        </is>
      </c>
      <c r="E829" t="n">
        <v>9</v>
      </c>
      <c r="F829" t="n">
        <v>80</v>
      </c>
      <c r="G829">
        <f>E829*F829</f>
        <v/>
      </c>
    </row>
    <row r="830">
      <c r="A830" t="inlineStr">
        <is>
          <t>Udang</t>
        </is>
      </c>
      <c r="B830" t="inlineStr">
        <is>
          <t>Mee Kari Asam</t>
        </is>
      </c>
      <c r="C830" t="inlineStr">
        <is>
          <t>2026-06</t>
        </is>
      </c>
      <c r="D830" t="inlineStr">
        <is>
          <t>SA</t>
        </is>
      </c>
      <c r="E830" t="n">
        <v>5</v>
      </c>
      <c r="F830" t="n">
        <v>80</v>
      </c>
      <c r="G830">
        <f>E830*F830</f>
        <v/>
      </c>
    </row>
    <row r="831">
      <c r="A831" t="inlineStr">
        <is>
          <t>Udang</t>
        </is>
      </c>
      <c r="B831" t="inlineStr">
        <is>
          <t>Mee Kari Asam</t>
        </is>
      </c>
      <c r="C831" t="inlineStr">
        <is>
          <t>2026-06</t>
        </is>
      </c>
      <c r="D831" t="inlineStr">
        <is>
          <t>TAM</t>
        </is>
      </c>
      <c r="E831" t="n">
        <v>4</v>
      </c>
      <c r="F831" t="n">
        <v>80</v>
      </c>
      <c r="G831">
        <f>E831*F831</f>
        <v/>
      </c>
    </row>
    <row r="832">
      <c r="A832" t="inlineStr">
        <is>
          <t>Udang</t>
        </is>
      </c>
      <c r="B832" t="inlineStr">
        <is>
          <t>Mee Kari Asam</t>
        </is>
      </c>
      <c r="C832" t="inlineStr">
        <is>
          <t>2026-07</t>
        </is>
      </c>
      <c r="D832" t="inlineStr">
        <is>
          <t>PJ</t>
        </is>
      </c>
      <c r="E832" t="n">
        <v>4</v>
      </c>
      <c r="F832" t="n">
        <v>80</v>
      </c>
      <c r="G832">
        <f>E832*F832</f>
        <v/>
      </c>
    </row>
    <row r="833">
      <c r="A833" t="inlineStr">
        <is>
          <t>Udang</t>
        </is>
      </c>
      <c r="B833" t="inlineStr">
        <is>
          <t>Mee Kari Asam</t>
        </is>
      </c>
      <c r="C833" t="inlineStr">
        <is>
          <t>2026-07</t>
        </is>
      </c>
      <c r="D833" t="inlineStr">
        <is>
          <t>SA</t>
        </is>
      </c>
      <c r="E833" t="n">
        <v>3</v>
      </c>
      <c r="F833" t="n">
        <v>80</v>
      </c>
      <c r="G833">
        <f>E833*F833</f>
        <v/>
      </c>
    </row>
    <row r="834">
      <c r="A834" t="inlineStr">
        <is>
          <t>Udang</t>
        </is>
      </c>
      <c r="B834" t="inlineStr">
        <is>
          <t>Mee Kari Asam</t>
        </is>
      </c>
      <c r="C834" t="inlineStr">
        <is>
          <t>2026-07</t>
        </is>
      </c>
      <c r="D834" t="inlineStr">
        <is>
          <t>TAM</t>
        </is>
      </c>
      <c r="E834" t="n">
        <v>5</v>
      </c>
      <c r="F834" t="n">
        <v>80</v>
      </c>
      <c r="G834">
        <f>E834*F834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7" customWidth="1" min="4" max="4"/>
    <col width="22" customWidth="1" min="5" max="5"/>
    <col width="24" customWidth="1" min="6" max="6"/>
    <col width="24" customWidth="1" min="7" max="7"/>
    <col width="9" customWidth="1" min="8" max="8"/>
    <col width="11" customWidth="1" min="9" max="9"/>
    <col width="14" customWidth="1" min="10" max="10"/>
    <col width="9" customWidth="1" min="11" max="11"/>
    <col width="12" customWidth="1" min="12" max="12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PO number</t>
        </is>
      </c>
      <c r="D1" s="4" t="inlineStr">
        <is>
          <t>Outlet</t>
        </is>
      </c>
      <c r="E1" s="4" t="inlineStr">
        <is>
          <t>Supplier</t>
        </is>
      </c>
      <c r="F1" s="4" t="inlineStr">
        <is>
          <t>Product</t>
        </is>
      </c>
      <c r="G1" s="4" t="inlineStr">
        <is>
          <t>Package</t>
        </is>
      </c>
      <c r="H1" s="4" t="inlineStr">
        <is>
          <t>Qty (EDIT)</t>
        </is>
      </c>
      <c r="I1" s="4" t="inlineStr">
        <is>
          <t>Conversion (EDIT)</t>
        </is>
      </c>
      <c r="J1" s="4" t="inlineStr">
        <is>
          <t>Base units</t>
        </is>
      </c>
      <c r="K1" s="4" t="inlineStr">
        <is>
          <t>Unit RM</t>
        </is>
      </c>
      <c r="L1" s="4" t="inlineStr">
        <is>
          <t>Line total RM</t>
        </is>
      </c>
    </row>
    <row r="2">
      <c r="A2" t="inlineStr">
        <is>
          <t>2026-05</t>
        </is>
      </c>
      <c r="B2" t="inlineStr">
        <is>
          <t>2026-05-11</t>
        </is>
      </c>
      <c r="C2" t="inlineStr">
        <is>
          <t>CC-CC001-0108</t>
        </is>
      </c>
      <c r="D2" t="inlineStr">
        <is>
          <t>PJ</t>
        </is>
      </c>
      <c r="E2" t="inlineStr">
        <is>
          <t>Country Bread</t>
        </is>
      </c>
      <c r="F2" t="inlineStr">
        <is>
          <t>Brioche Sandwich</t>
        </is>
      </c>
      <c r="G2" t="inlineStr">
        <is>
          <t>10pcs Loaf</t>
        </is>
      </c>
      <c r="H2" s="5" t="n">
        <v>28</v>
      </c>
      <c r="I2" s="5" t="n">
        <v>10</v>
      </c>
      <c r="J2">
        <f>H2*I2</f>
        <v/>
      </c>
      <c r="K2" t="n">
        <v>15.5</v>
      </c>
      <c r="L2" t="n">
        <v>434</v>
      </c>
    </row>
    <row r="3">
      <c r="A3" t="inlineStr">
        <is>
          <t>2026-05</t>
        </is>
      </c>
      <c r="B3" t="inlineStr">
        <is>
          <t>2026-05-11</t>
        </is>
      </c>
      <c r="C3" t="inlineStr">
        <is>
          <t>CC-CC001-0109</t>
        </is>
      </c>
      <c r="D3" t="inlineStr">
        <is>
          <t>PJ</t>
        </is>
      </c>
      <c r="E3" t="inlineStr">
        <is>
          <t>Country Bread</t>
        </is>
      </c>
      <c r="F3" t="inlineStr">
        <is>
          <t>Brioche Sandwich</t>
        </is>
      </c>
      <c r="G3" t="inlineStr">
        <is>
          <t>10pcs Loaf</t>
        </is>
      </c>
      <c r="H3" s="5" t="n">
        <v>24</v>
      </c>
      <c r="I3" s="5" t="n">
        <v>10</v>
      </c>
      <c r="J3">
        <f>H3*I3</f>
        <v/>
      </c>
      <c r="K3" t="n">
        <v>15.5</v>
      </c>
      <c r="L3" t="n">
        <v>372</v>
      </c>
    </row>
    <row r="4">
      <c r="A4" t="inlineStr">
        <is>
          <t>2026-05</t>
        </is>
      </c>
      <c r="B4" t="inlineStr">
        <is>
          <t>2026-05-11</t>
        </is>
      </c>
      <c r="C4" t="inlineStr">
        <is>
          <t>CC-CC003-0059</t>
        </is>
      </c>
      <c r="D4" t="inlineStr">
        <is>
          <t>TAM</t>
        </is>
      </c>
      <c r="E4" t="inlineStr">
        <is>
          <t>Country Bread</t>
        </is>
      </c>
      <c r="F4" t="inlineStr">
        <is>
          <t>Brioche Sandwich</t>
        </is>
      </c>
      <c r="G4" t="inlineStr">
        <is>
          <t>10pcs Loaf</t>
        </is>
      </c>
      <c r="H4" s="5" t="n">
        <v>12</v>
      </c>
      <c r="I4" s="5" t="n">
        <v>10</v>
      </c>
      <c r="J4">
        <f>H4*I4</f>
        <v/>
      </c>
      <c r="K4" t="n">
        <v>15.5</v>
      </c>
      <c r="L4" t="n">
        <v>186</v>
      </c>
    </row>
    <row r="5">
      <c r="A5" t="inlineStr">
        <is>
          <t>2026-05</t>
        </is>
      </c>
      <c r="B5" t="inlineStr">
        <is>
          <t>2026-05-11</t>
        </is>
      </c>
      <c r="C5" t="inlineStr">
        <is>
          <t>CC-CC002-0089</t>
        </is>
      </c>
      <c r="D5" t="inlineStr">
        <is>
          <t>SA</t>
        </is>
      </c>
      <c r="E5" t="inlineStr">
        <is>
          <t>Country Bread</t>
        </is>
      </c>
      <c r="F5" t="inlineStr">
        <is>
          <t>Brioche Sandwich</t>
        </is>
      </c>
      <c r="G5" t="inlineStr">
        <is>
          <t>10pcs Loaf</t>
        </is>
      </c>
      <c r="H5" s="5" t="n">
        <v>12</v>
      </c>
      <c r="I5" s="5" t="n">
        <v>10</v>
      </c>
      <c r="J5">
        <f>H5*I5</f>
        <v/>
      </c>
      <c r="K5" t="n">
        <v>15.5</v>
      </c>
      <c r="L5" t="n">
        <v>186</v>
      </c>
    </row>
    <row r="6">
      <c r="A6" t="inlineStr">
        <is>
          <t>2026-05</t>
        </is>
      </c>
      <c r="B6" t="inlineStr">
        <is>
          <t>2026-05-11</t>
        </is>
      </c>
      <c r="C6" t="inlineStr">
        <is>
          <t>CC-CC003-0060</t>
        </is>
      </c>
      <c r="D6" t="inlineStr">
        <is>
          <t>TAM</t>
        </is>
      </c>
      <c r="E6" t="inlineStr">
        <is>
          <t>Country Bread</t>
        </is>
      </c>
      <c r="F6" t="inlineStr">
        <is>
          <t>Brioche Sandwich</t>
        </is>
      </c>
      <c r="G6" t="inlineStr">
        <is>
          <t>10pcs Loaf</t>
        </is>
      </c>
      <c r="H6" s="5" t="n">
        <v>24</v>
      </c>
      <c r="I6" s="5" t="n">
        <v>10</v>
      </c>
      <c r="J6">
        <f>H6*I6</f>
        <v/>
      </c>
      <c r="K6" t="n">
        <v>15.5</v>
      </c>
      <c r="L6" t="n">
        <v>372</v>
      </c>
    </row>
    <row r="7">
      <c r="A7" t="inlineStr">
        <is>
          <t>2026-05</t>
        </is>
      </c>
      <c r="B7" t="inlineStr">
        <is>
          <t>2026-05-11</t>
        </is>
      </c>
      <c r="C7" t="inlineStr">
        <is>
          <t>CC-CC003-0061</t>
        </is>
      </c>
      <c r="D7" t="inlineStr">
        <is>
          <t>TAM</t>
        </is>
      </c>
      <c r="E7" t="inlineStr">
        <is>
          <t>Country Bread</t>
        </is>
      </c>
      <c r="F7" t="inlineStr">
        <is>
          <t>Brioche Sandwich</t>
        </is>
      </c>
      <c r="G7" t="inlineStr">
        <is>
          <t>10pcs Loaf</t>
        </is>
      </c>
      <c r="H7" s="5" t="n">
        <v>15</v>
      </c>
      <c r="I7" s="5" t="n">
        <v>10</v>
      </c>
      <c r="J7">
        <f>H7*I7</f>
        <v/>
      </c>
      <c r="K7" t="n">
        <v>15.5</v>
      </c>
      <c r="L7" t="n">
        <v>232.5</v>
      </c>
    </row>
    <row r="8">
      <c r="A8" t="inlineStr">
        <is>
          <t>2026-05</t>
        </is>
      </c>
      <c r="B8" t="inlineStr">
        <is>
          <t>2026-05-11</t>
        </is>
      </c>
      <c r="C8" t="inlineStr">
        <is>
          <t>CC-CC002-0090</t>
        </is>
      </c>
      <c r="D8" t="inlineStr">
        <is>
          <t>SA</t>
        </is>
      </c>
      <c r="E8" t="inlineStr">
        <is>
          <t>Country Bread</t>
        </is>
      </c>
      <c r="F8" t="inlineStr">
        <is>
          <t>Brioche Sandwich</t>
        </is>
      </c>
      <c r="G8" t="inlineStr">
        <is>
          <t>10pcs Loaf</t>
        </is>
      </c>
      <c r="H8" s="5" t="n">
        <v>12</v>
      </c>
      <c r="I8" s="5" t="n">
        <v>10</v>
      </c>
      <c r="J8">
        <f>H8*I8</f>
        <v/>
      </c>
      <c r="K8" t="n">
        <v>15.5</v>
      </c>
      <c r="L8" t="n">
        <v>186</v>
      </c>
    </row>
    <row r="9">
      <c r="A9" t="inlineStr">
        <is>
          <t>2026-05</t>
        </is>
      </c>
      <c r="B9" t="inlineStr">
        <is>
          <t>2026-05-11</t>
        </is>
      </c>
      <c r="C9" t="inlineStr">
        <is>
          <t>CC-CC003-0062</t>
        </is>
      </c>
      <c r="D9" t="inlineStr">
        <is>
          <t>TAM</t>
        </is>
      </c>
      <c r="E9" t="inlineStr">
        <is>
          <t>Country Bread</t>
        </is>
      </c>
      <c r="F9" t="inlineStr">
        <is>
          <t>Brioche Sandwich</t>
        </is>
      </c>
      <c r="G9" t="inlineStr">
        <is>
          <t>10pcs Loaf</t>
        </is>
      </c>
      <c r="H9" s="5" t="n">
        <v>12</v>
      </c>
      <c r="I9" s="5" t="n">
        <v>10</v>
      </c>
      <c r="J9">
        <f>H9*I9</f>
        <v/>
      </c>
      <c r="K9" t="n">
        <v>15.5</v>
      </c>
      <c r="L9" t="n">
        <v>186</v>
      </c>
    </row>
    <row r="10">
      <c r="A10" t="inlineStr">
        <is>
          <t>2026-05</t>
        </is>
      </c>
      <c r="B10" t="inlineStr">
        <is>
          <t>2026-05-11</t>
        </is>
      </c>
      <c r="C10" t="inlineStr">
        <is>
          <t>CC-CC003-0063</t>
        </is>
      </c>
      <c r="D10" t="inlineStr">
        <is>
          <t>TAM</t>
        </is>
      </c>
      <c r="E10" t="inlineStr">
        <is>
          <t>Country Bread</t>
        </is>
      </c>
      <c r="F10" t="inlineStr">
        <is>
          <t>Brioche Sandwich</t>
        </is>
      </c>
      <c r="G10" t="inlineStr">
        <is>
          <t>10pcs Loaf</t>
        </is>
      </c>
      <c r="H10" s="5" t="n">
        <v>14</v>
      </c>
      <c r="I10" s="5" t="n">
        <v>10</v>
      </c>
      <c r="J10">
        <f>H10*I10</f>
        <v/>
      </c>
      <c r="K10" t="n">
        <v>15.5</v>
      </c>
      <c r="L10" t="n">
        <v>217</v>
      </c>
    </row>
    <row r="11">
      <c r="A11" t="inlineStr">
        <is>
          <t>2026-05</t>
        </is>
      </c>
      <c r="B11" t="inlineStr">
        <is>
          <t>2026-05-11</t>
        </is>
      </c>
      <c r="C11" t="inlineStr">
        <is>
          <t>CC-CC003-0064</t>
        </is>
      </c>
      <c r="D11" t="inlineStr">
        <is>
          <t>TAM</t>
        </is>
      </c>
      <c r="E11" t="inlineStr">
        <is>
          <t>Country Bread</t>
        </is>
      </c>
      <c r="F11" t="inlineStr">
        <is>
          <t>Brioche Sandwich</t>
        </is>
      </c>
      <c r="G11" t="inlineStr">
        <is>
          <t>10pcs Loaf</t>
        </is>
      </c>
      <c r="H11" s="5" t="n">
        <v>24</v>
      </c>
      <c r="I11" s="5" t="n">
        <v>10</v>
      </c>
      <c r="J11">
        <f>H11*I11</f>
        <v/>
      </c>
      <c r="K11" t="n">
        <v>15.5</v>
      </c>
      <c r="L11" t="n">
        <v>372</v>
      </c>
    </row>
    <row r="12">
      <c r="A12" t="inlineStr">
        <is>
          <t>2026-06</t>
        </is>
      </c>
      <c r="B12" t="inlineStr">
        <is>
          <t>2026-06-17</t>
        </is>
      </c>
      <c r="C12" t="inlineStr">
        <is>
          <t>CC-CC001-0217</t>
        </is>
      </c>
      <c r="D12" t="inlineStr">
        <is>
          <t>PJ</t>
        </is>
      </c>
      <c r="E12" t="inlineStr">
        <is>
          <t>Country Bread</t>
        </is>
      </c>
      <c r="F12" t="inlineStr">
        <is>
          <t>Brioche Sandwich</t>
        </is>
      </c>
      <c r="G12" t="inlineStr">
        <is>
          <t>10pcs Loaf</t>
        </is>
      </c>
      <c r="H12" s="5" t="n">
        <v>174</v>
      </c>
      <c r="I12" s="5" t="n">
        <v>10</v>
      </c>
      <c r="J12">
        <f>H12*I12</f>
        <v/>
      </c>
      <c r="K12" t="n">
        <v>16.19</v>
      </c>
      <c r="L12" t="n">
        <v>2817</v>
      </c>
    </row>
    <row r="13">
      <c r="A13" t="inlineStr">
        <is>
          <t>2026-06</t>
        </is>
      </c>
      <c r="B13" t="inlineStr">
        <is>
          <t>2026-06-17</t>
        </is>
      </c>
      <c r="C13" t="inlineStr">
        <is>
          <t>CC-CC003-0141</t>
        </is>
      </c>
      <c r="D13" t="inlineStr">
        <is>
          <t>TAM</t>
        </is>
      </c>
      <c r="E13" t="inlineStr">
        <is>
          <t>Country Bread</t>
        </is>
      </c>
      <c r="F13" t="inlineStr">
        <is>
          <t>Brioche Sandwich</t>
        </is>
      </c>
      <c r="G13" t="inlineStr">
        <is>
          <t>10pcs Loaf</t>
        </is>
      </c>
      <c r="H13" s="5" t="n">
        <v>71</v>
      </c>
      <c r="I13" s="5" t="n">
        <v>10</v>
      </c>
      <c r="J13">
        <f>H13*I13</f>
        <v/>
      </c>
      <c r="K13" t="n">
        <v>16.63</v>
      </c>
      <c r="L13" t="n">
        <v>1180.5</v>
      </c>
    </row>
    <row r="14">
      <c r="A14" t="inlineStr">
        <is>
          <t>2026-06</t>
        </is>
      </c>
      <c r="B14" t="inlineStr">
        <is>
          <t>2026-06-17</t>
        </is>
      </c>
      <c r="C14" t="inlineStr">
        <is>
          <t>CC-CC002-0202</t>
        </is>
      </c>
      <c r="D14" t="inlineStr">
        <is>
          <t>SA</t>
        </is>
      </c>
      <c r="E14" t="inlineStr">
        <is>
          <t>Country Bread</t>
        </is>
      </c>
      <c r="F14" t="inlineStr">
        <is>
          <t>Brioche Sandwich</t>
        </is>
      </c>
      <c r="G14" t="inlineStr">
        <is>
          <t>10pcs Loaf</t>
        </is>
      </c>
      <c r="H14" s="5" t="n">
        <v>78</v>
      </c>
      <c r="I14" s="5" t="n">
        <v>10</v>
      </c>
      <c r="J14">
        <f>H14*I14</f>
        <v/>
      </c>
      <c r="K14" t="n">
        <v>16.27</v>
      </c>
      <c r="L14" t="n">
        <v>1269</v>
      </c>
    </row>
    <row r="15">
      <c r="A15" t="inlineStr">
        <is>
          <t>2026-06</t>
        </is>
      </c>
      <c r="B15" t="inlineStr">
        <is>
          <t>2026-06-30</t>
        </is>
      </c>
      <c r="C15" t="inlineStr">
        <is>
          <t>CC-CC001-0247</t>
        </is>
      </c>
      <c r="D15" t="inlineStr">
        <is>
          <t>PJ</t>
        </is>
      </c>
      <c r="E15" t="inlineStr">
        <is>
          <t>Country Bread</t>
        </is>
      </c>
      <c r="F15" t="inlineStr">
        <is>
          <t>Brioche Sandwich</t>
        </is>
      </c>
      <c r="G15" t="inlineStr">
        <is>
          <t>10pcs Loaf</t>
        </is>
      </c>
      <c r="H15" s="5" t="n">
        <v>153</v>
      </c>
      <c r="I15" s="5" t="n">
        <v>10</v>
      </c>
      <c r="J15">
        <f>H15*I15</f>
        <v/>
      </c>
      <c r="K15" t="n">
        <v>15.95</v>
      </c>
      <c r="L15" t="n">
        <v>2441</v>
      </c>
    </row>
    <row r="16">
      <c r="A16" t="inlineStr">
        <is>
          <t>2026-06</t>
        </is>
      </c>
      <c r="B16" t="inlineStr">
        <is>
          <t>2026-06-30</t>
        </is>
      </c>
      <c r="C16" t="inlineStr">
        <is>
          <t>CC-CC002-0234</t>
        </is>
      </c>
      <c r="D16" t="inlineStr">
        <is>
          <t>SA</t>
        </is>
      </c>
      <c r="E16" t="inlineStr">
        <is>
          <t>Country Bread</t>
        </is>
      </c>
      <c r="F16" t="inlineStr">
        <is>
          <t>Brioche Sandwich</t>
        </is>
      </c>
      <c r="G16" t="inlineStr">
        <is>
          <t>10pcs Loaf</t>
        </is>
      </c>
      <c r="H16" s="5" t="n">
        <v>73</v>
      </c>
      <c r="I16" s="5" t="n">
        <v>10</v>
      </c>
      <c r="J16">
        <f>H16*I16</f>
        <v/>
      </c>
      <c r="K16" t="n">
        <v>16.05</v>
      </c>
      <c r="L16" t="n">
        <v>1171.5</v>
      </c>
    </row>
    <row r="17">
      <c r="A17" t="inlineStr">
        <is>
          <t>2026-06</t>
        </is>
      </c>
      <c r="B17" t="inlineStr">
        <is>
          <t>2026-06-30</t>
        </is>
      </c>
      <c r="C17" t="inlineStr">
        <is>
          <t>CC-CC003-0160</t>
        </is>
      </c>
      <c r="D17" t="inlineStr">
        <is>
          <t>TAM</t>
        </is>
      </c>
      <c r="E17" t="inlineStr">
        <is>
          <t>Country Bread</t>
        </is>
      </c>
      <c r="F17" t="inlineStr">
        <is>
          <t>Brioche Sandwich</t>
        </is>
      </c>
      <c r="G17" t="inlineStr">
        <is>
          <t>10pcs Loaf</t>
        </is>
      </c>
      <c r="H17" s="5" t="n">
        <v>64</v>
      </c>
      <c r="I17" s="5" t="n">
        <v>10</v>
      </c>
      <c r="J17">
        <f>H17*I17</f>
        <v/>
      </c>
      <c r="K17" t="n">
        <v>16.44</v>
      </c>
      <c r="L17" t="n">
        <v>1052</v>
      </c>
    </row>
    <row r="18">
      <c r="A18" t="inlineStr">
        <is>
          <t>2026-07</t>
        </is>
      </c>
      <c r="B18" t="inlineStr">
        <is>
          <t>2026-07-17</t>
        </is>
      </c>
      <c r="C18" t="inlineStr">
        <is>
          <t>CC-CC001-0301</t>
        </is>
      </c>
      <c r="D18" t="inlineStr">
        <is>
          <t>PJ</t>
        </is>
      </c>
      <c r="E18" t="inlineStr">
        <is>
          <t>Blancoz</t>
        </is>
      </c>
      <c r="F18" t="inlineStr">
        <is>
          <t>Brioche Sandwich</t>
        </is>
      </c>
      <c r="G18" t="inlineStr">
        <is>
          <t>(no pkg)</t>
        </is>
      </c>
      <c r="H18" s="5" t="n">
        <v>10</v>
      </c>
      <c r="I18" s="5" t="n">
        <v>1</v>
      </c>
      <c r="J18">
        <f>H18*I18</f>
        <v/>
      </c>
      <c r="K18" t="n">
        <v>5.9</v>
      </c>
      <c r="L18" t="n">
        <v>59</v>
      </c>
    </row>
    <row r="19">
      <c r="A19" t="inlineStr">
        <is>
          <t>2026-07</t>
        </is>
      </c>
      <c r="B19" t="inlineStr">
        <is>
          <t>2026-07-17</t>
        </is>
      </c>
      <c r="C19" t="inlineStr">
        <is>
          <t>CC-CC002-0291</t>
        </is>
      </c>
      <c r="D19" t="inlineStr">
        <is>
          <t>SA</t>
        </is>
      </c>
      <c r="E19" t="inlineStr">
        <is>
          <t>Blancoz</t>
        </is>
      </c>
      <c r="F19" t="inlineStr">
        <is>
          <t>Brioche Sandwich</t>
        </is>
      </c>
      <c r="G19" t="inlineStr">
        <is>
          <t>(no pkg)</t>
        </is>
      </c>
      <c r="H19" s="5" t="n">
        <v>10</v>
      </c>
      <c r="I19" s="5" t="n">
        <v>1</v>
      </c>
      <c r="J19">
        <f>H19*I19</f>
        <v/>
      </c>
      <c r="K19" t="n">
        <v>5.9</v>
      </c>
      <c r="L19" t="n">
        <v>59</v>
      </c>
    </row>
    <row r="20">
      <c r="A20" t="inlineStr">
        <is>
          <t>2026-07</t>
        </is>
      </c>
      <c r="B20" t="inlineStr">
        <is>
          <t>2026-07-17</t>
        </is>
      </c>
      <c r="C20" t="inlineStr">
        <is>
          <t>CC-CC003-0202</t>
        </is>
      </c>
      <c r="D20" t="inlineStr">
        <is>
          <t>TAM</t>
        </is>
      </c>
      <c r="E20" t="inlineStr">
        <is>
          <t>Blancoz</t>
        </is>
      </c>
      <c r="F20" t="inlineStr">
        <is>
          <t>Brioche Sandwich</t>
        </is>
      </c>
      <c r="G20" t="inlineStr">
        <is>
          <t>(no pkg)</t>
        </is>
      </c>
      <c r="H20" s="5" t="n">
        <v>13</v>
      </c>
      <c r="I20" s="5" t="n">
        <v>1</v>
      </c>
      <c r="J20">
        <f>H20*I20</f>
        <v/>
      </c>
      <c r="K20" t="n">
        <v>5.9</v>
      </c>
      <c r="L20" t="n">
        <v>76.7</v>
      </c>
    </row>
    <row r="21">
      <c r="A21" t="inlineStr">
        <is>
          <t>2026-07</t>
        </is>
      </c>
      <c r="B21" t="inlineStr">
        <is>
          <t>2026-07-22</t>
        </is>
      </c>
      <c r="C21" t="inlineStr">
        <is>
          <t>CC-CC001-0314</t>
        </is>
      </c>
      <c r="D21" t="inlineStr">
        <is>
          <t>PJ</t>
        </is>
      </c>
      <c r="E21" t="inlineStr">
        <is>
          <t>Blancoz</t>
        </is>
      </c>
      <c r="F21" t="inlineStr">
        <is>
          <t>Brioche Sandwich</t>
        </is>
      </c>
      <c r="G21" t="inlineStr">
        <is>
          <t>(no pkg)</t>
        </is>
      </c>
      <c r="H21" s="5" t="n">
        <v>20</v>
      </c>
      <c r="I21" s="5" t="n">
        <v>1</v>
      </c>
      <c r="J21">
        <f>H21*I21</f>
        <v/>
      </c>
      <c r="K21" t="n">
        <v>5.9</v>
      </c>
      <c r="L21" t="n">
        <v>118</v>
      </c>
    </row>
    <row r="22">
      <c r="A22" t="inlineStr">
        <is>
          <t>2026-07</t>
        </is>
      </c>
      <c r="B22" t="inlineStr">
        <is>
          <t>2026-07-22</t>
        </is>
      </c>
      <c r="C22" t="inlineStr">
        <is>
          <t>CC-CC002-0300</t>
        </is>
      </c>
      <c r="D22" t="inlineStr">
        <is>
          <t>SA</t>
        </is>
      </c>
      <c r="E22" t="inlineStr">
        <is>
          <t>Blancoz</t>
        </is>
      </c>
      <c r="F22" t="inlineStr">
        <is>
          <t>Brioche Sandwich</t>
        </is>
      </c>
      <c r="G22" t="inlineStr">
        <is>
          <t>(no pkg)</t>
        </is>
      </c>
      <c r="H22" s="5" t="n">
        <v>20</v>
      </c>
      <c r="I22" s="5" t="n">
        <v>1</v>
      </c>
      <c r="J22">
        <f>H22*I22</f>
        <v/>
      </c>
      <c r="K22" t="n">
        <v>5.9</v>
      </c>
      <c r="L22" t="n">
        <v>118</v>
      </c>
    </row>
    <row r="23">
      <c r="A23" t="inlineStr">
        <is>
          <t>2026-07</t>
        </is>
      </c>
      <c r="B23" t="inlineStr">
        <is>
          <t>2026-07-22</t>
        </is>
      </c>
      <c r="C23" t="inlineStr">
        <is>
          <t>CC-CC003-0205</t>
        </is>
      </c>
      <c r="D23" t="inlineStr">
        <is>
          <t>TAM</t>
        </is>
      </c>
      <c r="E23" t="inlineStr">
        <is>
          <t>Blancoz</t>
        </is>
      </c>
      <c r="F23" t="inlineStr">
        <is>
          <t>Brioche Sandwich</t>
        </is>
      </c>
      <c r="G23" t="inlineStr">
        <is>
          <t>(no pkg)</t>
        </is>
      </c>
      <c r="H23" s="5" t="n">
        <v>8</v>
      </c>
      <c r="I23" s="5" t="n">
        <v>1</v>
      </c>
      <c r="J23">
        <f>H23*I23</f>
        <v/>
      </c>
      <c r="K23" t="n">
        <v>5.9</v>
      </c>
      <c r="L23" t="n">
        <v>47.2</v>
      </c>
    </row>
    <row r="24">
      <c r="A24" t="inlineStr">
        <is>
          <t>2026-07</t>
        </is>
      </c>
      <c r="B24" t="inlineStr">
        <is>
          <t>2026-07-26</t>
        </is>
      </c>
      <c r="C24" t="inlineStr">
        <is>
          <t>CC-CC001-0327</t>
        </is>
      </c>
      <c r="D24" t="inlineStr">
        <is>
          <t>PJ</t>
        </is>
      </c>
      <c r="E24" t="inlineStr">
        <is>
          <t>Blancoz</t>
        </is>
      </c>
      <c r="F24" t="inlineStr">
        <is>
          <t>Brioche Sandwich</t>
        </is>
      </c>
      <c r="G24" t="inlineStr">
        <is>
          <t>(no pkg)</t>
        </is>
      </c>
      <c r="H24" s="5" t="n">
        <v>10</v>
      </c>
      <c r="I24" s="5" t="n">
        <v>1</v>
      </c>
      <c r="J24">
        <f>H24*I24</f>
        <v/>
      </c>
      <c r="K24" t="n">
        <v>5.9</v>
      </c>
      <c r="L24" t="n">
        <v>59</v>
      </c>
    </row>
    <row r="25">
      <c r="A25" t="inlineStr">
        <is>
          <t>2026-07</t>
        </is>
      </c>
      <c r="B25" t="inlineStr">
        <is>
          <t>2026-07-26</t>
        </is>
      </c>
      <c r="C25" t="inlineStr">
        <is>
          <t>CC-CC002-0317</t>
        </is>
      </c>
      <c r="D25" t="inlineStr">
        <is>
          <t>SA</t>
        </is>
      </c>
      <c r="E25" t="inlineStr">
        <is>
          <t>Blancoz</t>
        </is>
      </c>
      <c r="F25" t="inlineStr">
        <is>
          <t>Brioche Sandwich</t>
        </is>
      </c>
      <c r="G25" t="inlineStr">
        <is>
          <t>(no pkg)</t>
        </is>
      </c>
      <c r="H25" s="5" t="n">
        <v>10</v>
      </c>
      <c r="I25" s="5" t="n">
        <v>1</v>
      </c>
      <c r="J25">
        <f>H25*I25</f>
        <v/>
      </c>
      <c r="K25" t="n">
        <v>5.9</v>
      </c>
      <c r="L25" t="n">
        <v>59</v>
      </c>
    </row>
    <row r="26">
      <c r="A26" t="inlineStr">
        <is>
          <t>2026-04</t>
        </is>
      </c>
      <c r="B26" t="inlineStr">
        <is>
          <t>2026-04-16</t>
        </is>
      </c>
      <c r="C26" t="inlineStr">
        <is>
          <t>CC-CC001-0016</t>
        </is>
      </c>
      <c r="D26" t="inlineStr">
        <is>
          <t>PJ</t>
        </is>
      </c>
      <c r="E26" t="inlineStr">
        <is>
          <t>Blancoz</t>
        </is>
      </c>
      <c r="F26" t="inlineStr">
        <is>
          <t>Burnt Cheesecake</t>
        </is>
      </c>
      <c r="G26" t="inlineStr">
        <is>
          <t>1 Cake (12 slices)</t>
        </is>
      </c>
      <c r="H26" s="5" t="n">
        <v>2</v>
      </c>
      <c r="I26" s="5" t="n">
        <v>12</v>
      </c>
      <c r="J26">
        <f>H26*I26</f>
        <v/>
      </c>
      <c r="K26" t="n">
        <v>100</v>
      </c>
      <c r="L26" t="n">
        <v>200</v>
      </c>
    </row>
    <row r="27">
      <c r="A27" t="inlineStr">
        <is>
          <t>2026-04</t>
        </is>
      </c>
      <c r="B27" t="inlineStr">
        <is>
          <t>2026-04-16</t>
        </is>
      </c>
      <c r="C27" t="inlineStr">
        <is>
          <t>CC-CC003-0006</t>
        </is>
      </c>
      <c r="D27" t="inlineStr">
        <is>
          <t>TAM</t>
        </is>
      </c>
      <c r="E27" t="inlineStr">
        <is>
          <t>Blancoz</t>
        </is>
      </c>
      <c r="F27" t="inlineStr">
        <is>
          <t>Burnt Cheesecake</t>
        </is>
      </c>
      <c r="G27" t="inlineStr">
        <is>
          <t>1 Cake (12 slices)</t>
        </is>
      </c>
      <c r="H27" s="5" t="n">
        <v>2</v>
      </c>
      <c r="I27" s="5" t="n">
        <v>12</v>
      </c>
      <c r="J27">
        <f>H27*I27</f>
        <v/>
      </c>
      <c r="K27" t="n">
        <v>100</v>
      </c>
      <c r="L27" t="n">
        <v>200</v>
      </c>
    </row>
    <row r="28">
      <c r="A28" t="inlineStr">
        <is>
          <t>2026-04</t>
        </is>
      </c>
      <c r="B28" t="inlineStr">
        <is>
          <t>2026-04-19</t>
        </is>
      </c>
      <c r="C28" t="inlineStr">
        <is>
          <t>CC-CC002-0018</t>
        </is>
      </c>
      <c r="D28" t="inlineStr">
        <is>
          <t>SA</t>
        </is>
      </c>
      <c r="E28" t="inlineStr">
        <is>
          <t>Blancoz</t>
        </is>
      </c>
      <c r="F28" t="inlineStr">
        <is>
          <t>Burnt Cheesecake</t>
        </is>
      </c>
      <c r="G28" t="inlineStr">
        <is>
          <t>1 Cake (12 slices)</t>
        </is>
      </c>
      <c r="H28" s="5" t="n">
        <v>2</v>
      </c>
      <c r="I28" s="5" t="n">
        <v>12</v>
      </c>
      <c r="J28">
        <f>H28*I28</f>
        <v/>
      </c>
      <c r="K28" t="n">
        <v>100</v>
      </c>
      <c r="L28" t="n">
        <v>200</v>
      </c>
    </row>
    <row r="29">
      <c r="A29" t="inlineStr">
        <is>
          <t>2026-04</t>
        </is>
      </c>
      <c r="B29" t="inlineStr">
        <is>
          <t>2026-04-19</t>
        </is>
      </c>
      <c r="C29" t="inlineStr">
        <is>
          <t>CC-CC001-0021</t>
        </is>
      </c>
      <c r="D29" t="inlineStr">
        <is>
          <t>PJ</t>
        </is>
      </c>
      <c r="E29" t="inlineStr">
        <is>
          <t>Blancoz</t>
        </is>
      </c>
      <c r="F29" t="inlineStr">
        <is>
          <t>Burnt Cheesecake</t>
        </is>
      </c>
      <c r="G29" t="inlineStr">
        <is>
          <t>1 Cake (12 slices)</t>
        </is>
      </c>
      <c r="H29" s="5" t="n">
        <v>2</v>
      </c>
      <c r="I29" s="5" t="n">
        <v>12</v>
      </c>
      <c r="J29">
        <f>H29*I29</f>
        <v/>
      </c>
      <c r="K29" t="n">
        <v>100</v>
      </c>
      <c r="L29" t="n">
        <v>200</v>
      </c>
    </row>
    <row r="30">
      <c r="A30" t="inlineStr">
        <is>
          <t>2026-04</t>
        </is>
      </c>
      <c r="B30" t="inlineStr">
        <is>
          <t>2026-04-19</t>
        </is>
      </c>
      <c r="C30" t="inlineStr">
        <is>
          <t>CC-CC003-0010</t>
        </is>
      </c>
      <c r="D30" t="inlineStr">
        <is>
          <t>TAM</t>
        </is>
      </c>
      <c r="E30" t="inlineStr">
        <is>
          <t>Blancoz</t>
        </is>
      </c>
      <c r="F30" t="inlineStr">
        <is>
          <t>Burnt Cheesecake</t>
        </is>
      </c>
      <c r="G30" t="inlineStr">
        <is>
          <t>1 Cake (12 slices)</t>
        </is>
      </c>
      <c r="H30" s="5" t="n">
        <v>2</v>
      </c>
      <c r="I30" s="5" t="n">
        <v>12</v>
      </c>
      <c r="J30">
        <f>H30*I30</f>
        <v/>
      </c>
      <c r="K30" t="n">
        <v>100</v>
      </c>
      <c r="L30" t="n">
        <v>200</v>
      </c>
    </row>
    <row r="31">
      <c r="A31" t="inlineStr">
        <is>
          <t>2026-04</t>
        </is>
      </c>
      <c r="B31" t="inlineStr">
        <is>
          <t>2026-04-27</t>
        </is>
      </c>
      <c r="C31" t="inlineStr">
        <is>
          <t>CC-CC001-0037</t>
        </is>
      </c>
      <c r="D31" t="inlineStr">
        <is>
          <t>PJ</t>
        </is>
      </c>
      <c r="E31" t="inlineStr">
        <is>
          <t>Blancoz</t>
        </is>
      </c>
      <c r="F31" t="inlineStr">
        <is>
          <t>Burnt Cheesecake</t>
        </is>
      </c>
      <c r="G31" t="inlineStr">
        <is>
          <t>1 Cake (12 slices)</t>
        </is>
      </c>
      <c r="H31" s="5" t="n">
        <v>3</v>
      </c>
      <c r="I31" s="5" t="n">
        <v>12</v>
      </c>
      <c r="J31">
        <f>H31*I31</f>
        <v/>
      </c>
      <c r="K31" t="n">
        <v>100</v>
      </c>
      <c r="L31" t="n">
        <v>300</v>
      </c>
    </row>
    <row r="32">
      <c r="A32" t="inlineStr">
        <is>
          <t>2026-04</t>
        </is>
      </c>
      <c r="B32" t="inlineStr">
        <is>
          <t>2026-04-27</t>
        </is>
      </c>
      <c r="C32" t="inlineStr">
        <is>
          <t>CC-CC002-0032</t>
        </is>
      </c>
      <c r="D32" t="inlineStr">
        <is>
          <t>SA</t>
        </is>
      </c>
      <c r="E32" t="inlineStr">
        <is>
          <t>Blancoz</t>
        </is>
      </c>
      <c r="F32" t="inlineStr">
        <is>
          <t>Burnt Cheesecake</t>
        </is>
      </c>
      <c r="G32" t="inlineStr">
        <is>
          <t>1 Cake (12 slices)</t>
        </is>
      </c>
      <c r="H32" s="5" t="n">
        <v>3</v>
      </c>
      <c r="I32" s="5" t="n">
        <v>12</v>
      </c>
      <c r="J32">
        <f>H32*I32</f>
        <v/>
      </c>
      <c r="K32" t="n">
        <v>100</v>
      </c>
      <c r="L32" t="n">
        <v>300</v>
      </c>
    </row>
    <row r="33">
      <c r="A33" t="inlineStr">
        <is>
          <t>2026-04</t>
        </is>
      </c>
      <c r="B33" t="inlineStr">
        <is>
          <t>2026-04-27</t>
        </is>
      </c>
      <c r="C33" t="inlineStr">
        <is>
          <t>CC-CC003-0021</t>
        </is>
      </c>
      <c r="D33" t="inlineStr">
        <is>
          <t>TAM</t>
        </is>
      </c>
      <c r="E33" t="inlineStr">
        <is>
          <t>Blancoz</t>
        </is>
      </c>
      <c r="F33" t="inlineStr">
        <is>
          <t>Burnt Cheesecake</t>
        </is>
      </c>
      <c r="G33" t="inlineStr">
        <is>
          <t>1 Cake (12 slices)</t>
        </is>
      </c>
      <c r="H33" s="5" t="n">
        <v>2</v>
      </c>
      <c r="I33" s="5" t="n">
        <v>12</v>
      </c>
      <c r="J33">
        <f>H33*I33</f>
        <v/>
      </c>
      <c r="K33" t="n">
        <v>100</v>
      </c>
      <c r="L33" t="n">
        <v>200</v>
      </c>
    </row>
    <row r="34">
      <c r="A34" t="inlineStr">
        <is>
          <t>2026-05</t>
        </is>
      </c>
      <c r="B34" t="inlineStr">
        <is>
          <t>2026-05-04</t>
        </is>
      </c>
      <c r="C34" t="inlineStr">
        <is>
          <t>CC-CC003-0030</t>
        </is>
      </c>
      <c r="D34" t="inlineStr">
        <is>
          <t>TAM</t>
        </is>
      </c>
      <c r="E34" t="inlineStr">
        <is>
          <t>Blancoz</t>
        </is>
      </c>
      <c r="F34" t="inlineStr">
        <is>
          <t>Burnt Cheesecake</t>
        </is>
      </c>
      <c r="G34" t="inlineStr">
        <is>
          <t>1 Cake (12 slices)</t>
        </is>
      </c>
      <c r="H34" s="5" t="n">
        <v>2</v>
      </c>
      <c r="I34" s="5" t="n">
        <v>12</v>
      </c>
      <c r="J34">
        <f>H34*I34</f>
        <v/>
      </c>
      <c r="K34" t="n">
        <v>100</v>
      </c>
      <c r="L34" t="n">
        <v>200</v>
      </c>
    </row>
    <row r="35">
      <c r="A35" t="inlineStr">
        <is>
          <t>2026-05</t>
        </is>
      </c>
      <c r="B35" t="inlineStr">
        <is>
          <t>2026-05-04</t>
        </is>
      </c>
      <c r="C35" t="inlineStr">
        <is>
          <t>CC-CC001-0069</t>
        </is>
      </c>
      <c r="D35" t="inlineStr">
        <is>
          <t>PJ</t>
        </is>
      </c>
      <c r="E35" t="inlineStr">
        <is>
          <t>Blancoz</t>
        </is>
      </c>
      <c r="F35" t="inlineStr">
        <is>
          <t>Burnt Cheesecake</t>
        </is>
      </c>
      <c r="G35" t="inlineStr">
        <is>
          <t>1 Cake (12 slices)</t>
        </is>
      </c>
      <c r="H35" s="5" t="n">
        <v>3</v>
      </c>
      <c r="I35" s="5" t="n">
        <v>12</v>
      </c>
      <c r="J35">
        <f>H35*I35</f>
        <v/>
      </c>
      <c r="K35" t="n">
        <v>100</v>
      </c>
      <c r="L35" t="n">
        <v>300</v>
      </c>
    </row>
    <row r="36">
      <c r="A36" t="inlineStr">
        <is>
          <t>2026-05</t>
        </is>
      </c>
      <c r="B36" t="inlineStr">
        <is>
          <t>2026-05-04</t>
        </is>
      </c>
      <c r="C36" t="inlineStr">
        <is>
          <t>CC-CC002-0051</t>
        </is>
      </c>
      <c r="D36" t="inlineStr">
        <is>
          <t>SA</t>
        </is>
      </c>
      <c r="E36" t="inlineStr">
        <is>
          <t>Blancoz</t>
        </is>
      </c>
      <c r="F36" t="inlineStr">
        <is>
          <t>Burnt Cheesecake</t>
        </is>
      </c>
      <c r="G36" t="inlineStr">
        <is>
          <t>1 Cake (12 slices)</t>
        </is>
      </c>
      <c r="H36" s="5" t="n">
        <v>3</v>
      </c>
      <c r="I36" s="5" t="n">
        <v>12</v>
      </c>
      <c r="J36">
        <f>H36*I36</f>
        <v/>
      </c>
      <c r="K36" t="n">
        <v>100</v>
      </c>
      <c r="L36" t="n">
        <v>300</v>
      </c>
    </row>
    <row r="37">
      <c r="A37" t="inlineStr">
        <is>
          <t>2026-05</t>
        </is>
      </c>
      <c r="B37" t="inlineStr">
        <is>
          <t>2026-05-07</t>
        </is>
      </c>
      <c r="C37" t="inlineStr">
        <is>
          <t>CC-CC001-0085</t>
        </is>
      </c>
      <c r="D37" t="inlineStr">
        <is>
          <t>PJ</t>
        </is>
      </c>
      <c r="E37" t="inlineStr">
        <is>
          <t>Blancoz</t>
        </is>
      </c>
      <c r="F37" t="inlineStr">
        <is>
          <t>Burnt Cheesecake</t>
        </is>
      </c>
      <c r="G37" t="inlineStr">
        <is>
          <t>1 Cake (12 slices)</t>
        </is>
      </c>
      <c r="H37" s="5" t="n">
        <v>2</v>
      </c>
      <c r="I37" s="5" t="n">
        <v>12</v>
      </c>
      <c r="J37">
        <f>H37*I37</f>
        <v/>
      </c>
      <c r="K37" t="n">
        <v>100</v>
      </c>
      <c r="L37" t="n">
        <v>200</v>
      </c>
    </row>
    <row r="38">
      <c r="A38" t="inlineStr">
        <is>
          <t>2026-05</t>
        </is>
      </c>
      <c r="B38" t="inlineStr">
        <is>
          <t>2026-05-07</t>
        </is>
      </c>
      <c r="C38" t="inlineStr">
        <is>
          <t>CC-CC002-0066</t>
        </is>
      </c>
      <c r="D38" t="inlineStr">
        <is>
          <t>SA</t>
        </is>
      </c>
      <c r="E38" t="inlineStr">
        <is>
          <t>Blancoz</t>
        </is>
      </c>
      <c r="F38" t="inlineStr">
        <is>
          <t>Burnt Cheesecake</t>
        </is>
      </c>
      <c r="G38" t="inlineStr">
        <is>
          <t>1 Cake (12 slices)</t>
        </is>
      </c>
      <c r="H38" s="5" t="n">
        <v>2</v>
      </c>
      <c r="I38" s="5" t="n">
        <v>12</v>
      </c>
      <c r="J38">
        <f>H38*I38</f>
        <v/>
      </c>
      <c r="K38" t="n">
        <v>100</v>
      </c>
      <c r="L38" t="n">
        <v>200</v>
      </c>
    </row>
    <row r="39">
      <c r="A39" t="inlineStr">
        <is>
          <t>2026-05</t>
        </is>
      </c>
      <c r="B39" t="inlineStr">
        <is>
          <t>2026-05-10</t>
        </is>
      </c>
      <c r="C39" t="inlineStr">
        <is>
          <t>CC-CC003-0049</t>
        </is>
      </c>
      <c r="D39" t="inlineStr">
        <is>
          <t>TAM</t>
        </is>
      </c>
      <c r="E39" t="inlineStr">
        <is>
          <t>Blancoz</t>
        </is>
      </c>
      <c r="F39" t="inlineStr">
        <is>
          <t>Burnt Cheesecake</t>
        </is>
      </c>
      <c r="G39" t="inlineStr">
        <is>
          <t>1 Cake (12 slices)</t>
        </is>
      </c>
      <c r="H39" s="5" t="n">
        <v>2</v>
      </c>
      <c r="I39" s="5" t="n">
        <v>12</v>
      </c>
      <c r="J39">
        <f>H39*I39</f>
        <v/>
      </c>
      <c r="K39" t="n">
        <v>100</v>
      </c>
      <c r="L39" t="n">
        <v>200</v>
      </c>
    </row>
    <row r="40">
      <c r="A40" t="inlineStr">
        <is>
          <t>2026-05</t>
        </is>
      </c>
      <c r="B40" t="inlineStr">
        <is>
          <t>2026-05-10</t>
        </is>
      </c>
      <c r="C40" t="inlineStr">
        <is>
          <t>CC-CC001-0095</t>
        </is>
      </c>
      <c r="D40" t="inlineStr">
        <is>
          <t>PJ</t>
        </is>
      </c>
      <c r="E40" t="inlineStr">
        <is>
          <t>Blancoz</t>
        </is>
      </c>
      <c r="F40" t="inlineStr">
        <is>
          <t>Burnt Cheesecake</t>
        </is>
      </c>
      <c r="G40" t="inlineStr">
        <is>
          <t>1 Cake (12 slices)</t>
        </is>
      </c>
      <c r="H40" s="5" t="n">
        <v>2</v>
      </c>
      <c r="I40" s="5" t="n">
        <v>12</v>
      </c>
      <c r="J40">
        <f>H40*I40</f>
        <v/>
      </c>
      <c r="K40" t="n">
        <v>100</v>
      </c>
      <c r="L40" t="n">
        <v>200</v>
      </c>
    </row>
    <row r="41">
      <c r="A41" t="inlineStr">
        <is>
          <t>2026-05</t>
        </is>
      </c>
      <c r="B41" t="inlineStr">
        <is>
          <t>2026-05-10</t>
        </is>
      </c>
      <c r="C41" t="inlineStr">
        <is>
          <t>CC-CC002-0076</t>
        </is>
      </c>
      <c r="D41" t="inlineStr">
        <is>
          <t>SA</t>
        </is>
      </c>
      <c r="E41" t="inlineStr">
        <is>
          <t>Blancoz</t>
        </is>
      </c>
      <c r="F41" t="inlineStr">
        <is>
          <t>Burnt Cheesecake</t>
        </is>
      </c>
      <c r="G41" t="inlineStr">
        <is>
          <t>1 Cake (12 slices)</t>
        </is>
      </c>
      <c r="H41" s="5" t="n">
        <v>2</v>
      </c>
      <c r="I41" s="5" t="n">
        <v>12</v>
      </c>
      <c r="J41">
        <f>H41*I41</f>
        <v/>
      </c>
      <c r="K41" t="n">
        <v>100</v>
      </c>
      <c r="L41" t="n">
        <v>200</v>
      </c>
    </row>
    <row r="42">
      <c r="A42" t="inlineStr">
        <is>
          <t>2026-05</t>
        </is>
      </c>
      <c r="B42" t="inlineStr">
        <is>
          <t>2026-05-10</t>
        </is>
      </c>
      <c r="C42" t="inlineStr">
        <is>
          <t>CC-CC002-0084</t>
        </is>
      </c>
      <c r="D42" t="inlineStr">
        <is>
          <t>SA</t>
        </is>
      </c>
      <c r="E42" t="inlineStr">
        <is>
          <t>Blancoz</t>
        </is>
      </c>
      <c r="F42" t="inlineStr">
        <is>
          <t>Burnt Cheesecake</t>
        </is>
      </c>
      <c r="G42" t="inlineStr">
        <is>
          <t>1 Cake (12 slices)</t>
        </is>
      </c>
      <c r="H42" s="5" t="n">
        <v>3</v>
      </c>
      <c r="I42" s="5" t="n">
        <v>12</v>
      </c>
      <c r="J42">
        <f>H42*I42</f>
        <v/>
      </c>
      <c r="K42" t="n">
        <v>100</v>
      </c>
      <c r="L42" t="n">
        <v>300</v>
      </c>
    </row>
    <row r="43">
      <c r="A43" t="inlineStr">
        <is>
          <t>2026-05</t>
        </is>
      </c>
      <c r="B43" t="inlineStr">
        <is>
          <t>2026-05-10</t>
        </is>
      </c>
      <c r="C43" t="inlineStr">
        <is>
          <t>CC-CC003-0055</t>
        </is>
      </c>
      <c r="D43" t="inlineStr">
        <is>
          <t>TAM</t>
        </is>
      </c>
      <c r="E43" t="inlineStr">
        <is>
          <t>Blancoz</t>
        </is>
      </c>
      <c r="F43" t="inlineStr">
        <is>
          <t>Burnt Cheesecake</t>
        </is>
      </c>
      <c r="G43" t="inlineStr">
        <is>
          <t>1 Cake (12 slices)</t>
        </is>
      </c>
      <c r="H43" s="5" t="n">
        <v>2</v>
      </c>
      <c r="I43" s="5" t="n">
        <v>12</v>
      </c>
      <c r="J43">
        <f>H43*I43</f>
        <v/>
      </c>
      <c r="K43" t="n">
        <v>100</v>
      </c>
      <c r="L43" t="n">
        <v>200</v>
      </c>
    </row>
    <row r="44">
      <c r="A44" t="inlineStr">
        <is>
          <t>2026-05</t>
        </is>
      </c>
      <c r="B44" t="inlineStr">
        <is>
          <t>2026-05-10</t>
        </is>
      </c>
      <c r="C44" t="inlineStr">
        <is>
          <t>CC-CC001-0101</t>
        </is>
      </c>
      <c r="D44" t="inlineStr">
        <is>
          <t>PJ</t>
        </is>
      </c>
      <c r="E44" t="inlineStr">
        <is>
          <t>Blancoz</t>
        </is>
      </c>
      <c r="F44" t="inlineStr">
        <is>
          <t>Burnt Cheesecake</t>
        </is>
      </c>
      <c r="G44" t="inlineStr">
        <is>
          <t>1 Cake (12 slices)</t>
        </is>
      </c>
      <c r="H44" s="5" t="n">
        <v>2</v>
      </c>
      <c r="I44" s="5" t="n">
        <v>12</v>
      </c>
      <c r="J44">
        <f>H44*I44</f>
        <v/>
      </c>
      <c r="K44" t="n">
        <v>100</v>
      </c>
      <c r="L44" t="n">
        <v>200</v>
      </c>
    </row>
    <row r="45">
      <c r="A45" t="inlineStr">
        <is>
          <t>2026-05</t>
        </is>
      </c>
      <c r="B45" t="inlineStr">
        <is>
          <t>2026-05-17</t>
        </is>
      </c>
      <c r="C45" t="inlineStr">
        <is>
          <t>CC-CC001-0131</t>
        </is>
      </c>
      <c r="D45" t="inlineStr">
        <is>
          <t>PJ</t>
        </is>
      </c>
      <c r="E45" t="inlineStr">
        <is>
          <t>Blancoz</t>
        </is>
      </c>
      <c r="F45" t="inlineStr">
        <is>
          <t>Burnt Cheesecake</t>
        </is>
      </c>
      <c r="G45" t="inlineStr">
        <is>
          <t>1 Cake (12 slices)</t>
        </is>
      </c>
      <c r="H45" s="5" t="n">
        <v>2</v>
      </c>
      <c r="I45" s="5" t="n">
        <v>12</v>
      </c>
      <c r="J45">
        <f>H45*I45</f>
        <v/>
      </c>
      <c r="K45" t="n">
        <v>100</v>
      </c>
      <c r="L45" t="n">
        <v>200</v>
      </c>
    </row>
    <row r="46">
      <c r="A46" t="inlineStr">
        <is>
          <t>2026-05</t>
        </is>
      </c>
      <c r="B46" t="inlineStr">
        <is>
          <t>2026-05-17</t>
        </is>
      </c>
      <c r="C46" t="inlineStr">
        <is>
          <t>CC-CC002-0116</t>
        </is>
      </c>
      <c r="D46" t="inlineStr">
        <is>
          <t>SA</t>
        </is>
      </c>
      <c r="E46" t="inlineStr">
        <is>
          <t>Blancoz</t>
        </is>
      </c>
      <c r="F46" t="inlineStr">
        <is>
          <t>Burnt Cheesecake</t>
        </is>
      </c>
      <c r="G46" t="inlineStr">
        <is>
          <t>1 Cake (12 slices)</t>
        </is>
      </c>
      <c r="H46" s="5" t="n">
        <v>2</v>
      </c>
      <c r="I46" s="5" t="n">
        <v>12</v>
      </c>
      <c r="J46">
        <f>H46*I46</f>
        <v/>
      </c>
      <c r="K46" t="n">
        <v>100</v>
      </c>
      <c r="L46" t="n">
        <v>200</v>
      </c>
    </row>
    <row r="47">
      <c r="A47" t="inlineStr">
        <is>
          <t>2026-05</t>
        </is>
      </c>
      <c r="B47" t="inlineStr">
        <is>
          <t>2026-05-17</t>
        </is>
      </c>
      <c r="C47" t="inlineStr">
        <is>
          <t>CC-CC003-0080</t>
        </is>
      </c>
      <c r="D47" t="inlineStr">
        <is>
          <t>TAM</t>
        </is>
      </c>
      <c r="E47" t="inlineStr">
        <is>
          <t>Blancoz</t>
        </is>
      </c>
      <c r="F47" t="inlineStr">
        <is>
          <t>Burnt Cheesecake</t>
        </is>
      </c>
      <c r="G47" t="inlineStr">
        <is>
          <t>1 Cake (12 slices)</t>
        </is>
      </c>
      <c r="H47" s="5" t="n">
        <v>2</v>
      </c>
      <c r="I47" s="5" t="n">
        <v>12</v>
      </c>
      <c r="J47">
        <f>H47*I47</f>
        <v/>
      </c>
      <c r="K47" t="n">
        <v>100</v>
      </c>
      <c r="L47" t="n">
        <v>200</v>
      </c>
    </row>
    <row r="48">
      <c r="A48" t="inlineStr">
        <is>
          <t>2026-05</t>
        </is>
      </c>
      <c r="B48" t="inlineStr">
        <is>
          <t>2026-05-24</t>
        </is>
      </c>
      <c r="C48" t="inlineStr">
        <is>
          <t>CC-CC002-0137</t>
        </is>
      </c>
      <c r="D48" t="inlineStr">
        <is>
          <t>SA</t>
        </is>
      </c>
      <c r="E48" t="inlineStr">
        <is>
          <t>Blancoz</t>
        </is>
      </c>
      <c r="F48" t="inlineStr">
        <is>
          <t>Burnt Cheesecake</t>
        </is>
      </c>
      <c r="G48" t="inlineStr">
        <is>
          <t>1 Cake (12 slices)</t>
        </is>
      </c>
      <c r="H48" s="5" t="n">
        <v>1</v>
      </c>
      <c r="I48" s="5" t="n">
        <v>12</v>
      </c>
      <c r="J48">
        <f>H48*I48</f>
        <v/>
      </c>
      <c r="K48" t="n">
        <v>100</v>
      </c>
      <c r="L48" t="n">
        <v>100</v>
      </c>
    </row>
    <row r="49">
      <c r="A49" t="inlineStr">
        <is>
          <t>2026-05</t>
        </is>
      </c>
      <c r="B49" t="inlineStr">
        <is>
          <t>2026-05-24</t>
        </is>
      </c>
      <c r="C49" t="inlineStr">
        <is>
          <t>CC-CC001-0147</t>
        </is>
      </c>
      <c r="D49" t="inlineStr">
        <is>
          <t>PJ</t>
        </is>
      </c>
      <c r="E49" t="inlineStr">
        <is>
          <t>Blancoz</t>
        </is>
      </c>
      <c r="F49" t="inlineStr">
        <is>
          <t>Burnt Cheesecake</t>
        </is>
      </c>
      <c r="G49" t="inlineStr">
        <is>
          <t>1 Cake (12 slices)</t>
        </is>
      </c>
      <c r="H49" s="5" t="n">
        <v>2</v>
      </c>
      <c r="I49" s="5" t="n">
        <v>12</v>
      </c>
      <c r="J49">
        <f>H49*I49</f>
        <v/>
      </c>
      <c r="K49" t="n">
        <v>100</v>
      </c>
      <c r="L49" t="n">
        <v>200</v>
      </c>
    </row>
    <row r="50">
      <c r="A50" t="inlineStr">
        <is>
          <t>2026-05</t>
        </is>
      </c>
      <c r="B50" t="inlineStr">
        <is>
          <t>2026-05-24</t>
        </is>
      </c>
      <c r="C50" t="inlineStr">
        <is>
          <t>CC-CC003-0098</t>
        </is>
      </c>
      <c r="D50" t="inlineStr">
        <is>
          <t>TAM</t>
        </is>
      </c>
      <c r="E50" t="inlineStr">
        <is>
          <t>Blancoz</t>
        </is>
      </c>
      <c r="F50" t="inlineStr">
        <is>
          <t>Burnt Cheesecake</t>
        </is>
      </c>
      <c r="G50" t="inlineStr">
        <is>
          <t>1 Cake (12 slices)</t>
        </is>
      </c>
      <c r="H50" s="5" t="n">
        <v>2</v>
      </c>
      <c r="I50" s="5" t="n">
        <v>12</v>
      </c>
      <c r="J50">
        <f>H50*I50</f>
        <v/>
      </c>
      <c r="K50" t="n">
        <v>100</v>
      </c>
      <c r="L50" t="n">
        <v>200</v>
      </c>
    </row>
    <row r="51">
      <c r="A51" t="inlineStr">
        <is>
          <t>2026-05</t>
        </is>
      </c>
      <c r="B51" t="inlineStr">
        <is>
          <t>2026-05-31</t>
        </is>
      </c>
      <c r="C51" t="inlineStr">
        <is>
          <t>CC-CC002-0155</t>
        </is>
      </c>
      <c r="D51" t="inlineStr">
        <is>
          <t>SA</t>
        </is>
      </c>
      <c r="E51" t="inlineStr">
        <is>
          <t>Blancoz</t>
        </is>
      </c>
      <c r="F51" t="inlineStr">
        <is>
          <t>Burnt Cheesecake</t>
        </is>
      </c>
      <c r="G51" t="inlineStr">
        <is>
          <t>1 Cake (12 slices)</t>
        </is>
      </c>
      <c r="H51" s="5" t="n">
        <v>2</v>
      </c>
      <c r="I51" s="5" t="n">
        <v>12</v>
      </c>
      <c r="J51">
        <f>H51*I51</f>
        <v/>
      </c>
      <c r="K51" t="n">
        <v>100</v>
      </c>
      <c r="L51" t="n">
        <v>200</v>
      </c>
    </row>
    <row r="52">
      <c r="A52" t="inlineStr">
        <is>
          <t>2026-05</t>
        </is>
      </c>
      <c r="B52" t="inlineStr">
        <is>
          <t>2026-05-31</t>
        </is>
      </c>
      <c r="C52" t="inlineStr">
        <is>
          <t>CC-CC001-0165</t>
        </is>
      </c>
      <c r="D52" t="inlineStr">
        <is>
          <t>PJ</t>
        </is>
      </c>
      <c r="E52" t="inlineStr">
        <is>
          <t>Blancoz</t>
        </is>
      </c>
      <c r="F52" t="inlineStr">
        <is>
          <t>Burnt Cheesecake</t>
        </is>
      </c>
      <c r="G52" t="inlineStr">
        <is>
          <t>1 Cake (12 slices)</t>
        </is>
      </c>
      <c r="H52" s="5" t="n">
        <v>2</v>
      </c>
      <c r="I52" s="5" t="n">
        <v>12</v>
      </c>
      <c r="J52">
        <f>H52*I52</f>
        <v/>
      </c>
      <c r="K52" t="n">
        <v>100</v>
      </c>
      <c r="L52" t="n">
        <v>200</v>
      </c>
    </row>
    <row r="53">
      <c r="A53" t="inlineStr">
        <is>
          <t>2026-06</t>
        </is>
      </c>
      <c r="B53" t="inlineStr">
        <is>
          <t>2026-06-07</t>
        </is>
      </c>
      <c r="C53" t="inlineStr">
        <is>
          <t>CC-CC001-0190</t>
        </is>
      </c>
      <c r="D53" t="inlineStr">
        <is>
          <t>PJ</t>
        </is>
      </c>
      <c r="E53" t="inlineStr">
        <is>
          <t>Blancoz</t>
        </is>
      </c>
      <c r="F53" t="inlineStr">
        <is>
          <t>Burnt Cheesecake</t>
        </is>
      </c>
      <c r="G53" t="inlineStr">
        <is>
          <t>1 Cake (12 slices)</t>
        </is>
      </c>
      <c r="H53" s="5" t="n">
        <v>2</v>
      </c>
      <c r="I53" s="5" t="n">
        <v>12</v>
      </c>
      <c r="J53">
        <f>H53*I53</f>
        <v/>
      </c>
      <c r="K53" t="n">
        <v>100</v>
      </c>
      <c r="L53" t="n">
        <v>200</v>
      </c>
    </row>
    <row r="54">
      <c r="A54" t="inlineStr">
        <is>
          <t>2026-06</t>
        </is>
      </c>
      <c r="B54" t="inlineStr">
        <is>
          <t>2026-06-07</t>
        </is>
      </c>
      <c r="C54" t="inlineStr">
        <is>
          <t>CC-CC002-0178</t>
        </is>
      </c>
      <c r="D54" t="inlineStr">
        <is>
          <t>SA</t>
        </is>
      </c>
      <c r="E54" t="inlineStr">
        <is>
          <t>Blancoz</t>
        </is>
      </c>
      <c r="F54" t="inlineStr">
        <is>
          <t>Burnt Cheesecake</t>
        </is>
      </c>
      <c r="G54" t="inlineStr">
        <is>
          <t>1 Cake (12 slices)</t>
        </is>
      </c>
      <c r="H54" s="5" t="n">
        <v>1</v>
      </c>
      <c r="I54" s="5" t="n">
        <v>12</v>
      </c>
      <c r="J54">
        <f>H54*I54</f>
        <v/>
      </c>
      <c r="K54" t="n">
        <v>100</v>
      </c>
      <c r="L54" t="n">
        <v>100</v>
      </c>
    </row>
    <row r="55">
      <c r="A55" t="inlineStr">
        <is>
          <t>2026-06</t>
        </is>
      </c>
      <c r="B55" t="inlineStr">
        <is>
          <t>2026-06-07</t>
        </is>
      </c>
      <c r="C55" t="inlineStr">
        <is>
          <t>CC-CC003-0130</t>
        </is>
      </c>
      <c r="D55" t="inlineStr">
        <is>
          <t>TAM</t>
        </is>
      </c>
      <c r="E55" t="inlineStr">
        <is>
          <t>Blancoz</t>
        </is>
      </c>
      <c r="F55" t="inlineStr">
        <is>
          <t>Burnt Cheesecake</t>
        </is>
      </c>
      <c r="G55" t="inlineStr">
        <is>
          <t>1 Cake (12 slices)</t>
        </is>
      </c>
      <c r="H55" s="5" t="n">
        <v>2</v>
      </c>
      <c r="I55" s="5" t="n">
        <v>12</v>
      </c>
      <c r="J55">
        <f>H55*I55</f>
        <v/>
      </c>
      <c r="K55" t="n">
        <v>100</v>
      </c>
      <c r="L55" t="n">
        <v>200</v>
      </c>
    </row>
    <row r="56">
      <c r="A56" t="inlineStr">
        <is>
          <t>2026-06</t>
        </is>
      </c>
      <c r="B56" t="inlineStr">
        <is>
          <t>2026-06-14</t>
        </is>
      </c>
      <c r="C56" t="inlineStr">
        <is>
          <t>CC-CC001-0205</t>
        </is>
      </c>
      <c r="D56" t="inlineStr">
        <is>
          <t>PJ</t>
        </is>
      </c>
      <c r="E56" t="inlineStr">
        <is>
          <t>Blancoz</t>
        </is>
      </c>
      <c r="F56" t="inlineStr">
        <is>
          <t>Burnt Cheesecake</t>
        </is>
      </c>
      <c r="G56" t="inlineStr">
        <is>
          <t>1 Cake (12 slices)</t>
        </is>
      </c>
      <c r="H56" s="5" t="n">
        <v>2</v>
      </c>
      <c r="I56" s="5" t="n">
        <v>12</v>
      </c>
      <c r="J56">
        <f>H56*I56</f>
        <v/>
      </c>
      <c r="K56" t="n">
        <v>100</v>
      </c>
      <c r="L56" t="n">
        <v>200</v>
      </c>
    </row>
    <row r="57">
      <c r="A57" t="inlineStr">
        <is>
          <t>2026-06</t>
        </is>
      </c>
      <c r="B57" t="inlineStr">
        <is>
          <t>2026-06-14</t>
        </is>
      </c>
      <c r="C57" t="inlineStr">
        <is>
          <t>CC-CC002-0190</t>
        </is>
      </c>
      <c r="D57" t="inlineStr">
        <is>
          <t>SA</t>
        </is>
      </c>
      <c r="E57" t="inlineStr">
        <is>
          <t>Blancoz</t>
        </is>
      </c>
      <c r="F57" t="inlineStr">
        <is>
          <t>Burnt Cheesecake</t>
        </is>
      </c>
      <c r="G57" t="inlineStr">
        <is>
          <t>1 Cake (12 slices)</t>
        </is>
      </c>
      <c r="H57" s="5" t="n">
        <v>1</v>
      </c>
      <c r="I57" s="5" t="n">
        <v>12</v>
      </c>
      <c r="J57">
        <f>H57*I57</f>
        <v/>
      </c>
      <c r="K57" t="n">
        <v>100</v>
      </c>
      <c r="L57" t="n">
        <v>100</v>
      </c>
    </row>
    <row r="58">
      <c r="A58" t="inlineStr">
        <is>
          <t>2026-06</t>
        </is>
      </c>
      <c r="B58" t="inlineStr">
        <is>
          <t>2026-06-14</t>
        </is>
      </c>
      <c r="C58" t="inlineStr">
        <is>
          <t>CC-CC003-0136</t>
        </is>
      </c>
      <c r="D58" t="inlineStr">
        <is>
          <t>TAM</t>
        </is>
      </c>
      <c r="E58" t="inlineStr">
        <is>
          <t>Blancoz</t>
        </is>
      </c>
      <c r="F58" t="inlineStr">
        <is>
          <t>Burnt Cheesecake</t>
        </is>
      </c>
      <c r="G58" t="inlineStr">
        <is>
          <t>1 Cake (12 slices)</t>
        </is>
      </c>
      <c r="H58" s="5" t="n">
        <v>1</v>
      </c>
      <c r="I58" s="5" t="n">
        <v>12</v>
      </c>
      <c r="J58">
        <f>H58*I58</f>
        <v/>
      </c>
      <c r="K58" t="n">
        <v>100</v>
      </c>
      <c r="L58" t="n">
        <v>100</v>
      </c>
    </row>
    <row r="59">
      <c r="A59" t="inlineStr">
        <is>
          <t>2026-06</t>
        </is>
      </c>
      <c r="B59" t="inlineStr">
        <is>
          <t>2026-06-18</t>
        </is>
      </c>
      <c r="C59" t="inlineStr">
        <is>
          <t>CC-CC002-0206</t>
        </is>
      </c>
      <c r="D59" t="inlineStr">
        <is>
          <t>SA</t>
        </is>
      </c>
      <c r="E59" t="inlineStr">
        <is>
          <t>Blancoz</t>
        </is>
      </c>
      <c r="F59" t="inlineStr">
        <is>
          <t>Burnt Cheesecake</t>
        </is>
      </c>
      <c r="G59" t="inlineStr">
        <is>
          <t>1 Cake (12 slices)</t>
        </is>
      </c>
      <c r="H59" s="5" t="n">
        <v>1</v>
      </c>
      <c r="I59" s="5" t="n">
        <v>12</v>
      </c>
      <c r="J59">
        <f>H59*I59</f>
        <v/>
      </c>
      <c r="K59" t="n">
        <v>100</v>
      </c>
      <c r="L59" t="n">
        <v>100</v>
      </c>
    </row>
    <row r="60">
      <c r="A60" t="inlineStr">
        <is>
          <t>2026-06</t>
        </is>
      </c>
      <c r="B60" t="inlineStr">
        <is>
          <t>2026-06-21</t>
        </is>
      </c>
      <c r="C60" t="inlineStr">
        <is>
          <t>CC-CC001-0224</t>
        </is>
      </c>
      <c r="D60" t="inlineStr">
        <is>
          <t>PJ</t>
        </is>
      </c>
      <c r="E60" t="inlineStr">
        <is>
          <t>Blancoz</t>
        </is>
      </c>
      <c r="F60" t="inlineStr">
        <is>
          <t>Burnt Cheesecake</t>
        </is>
      </c>
      <c r="G60" t="inlineStr">
        <is>
          <t>1 Cake (12 slices)</t>
        </is>
      </c>
      <c r="H60" s="5" t="n">
        <v>2</v>
      </c>
      <c r="I60" s="5" t="n">
        <v>12</v>
      </c>
      <c r="J60">
        <f>H60*I60</f>
        <v/>
      </c>
      <c r="K60" t="n">
        <v>100</v>
      </c>
      <c r="L60" t="n">
        <v>200</v>
      </c>
    </row>
    <row r="61">
      <c r="A61" t="inlineStr">
        <is>
          <t>2026-06</t>
        </is>
      </c>
      <c r="B61" t="inlineStr">
        <is>
          <t>2026-06-21</t>
        </is>
      </c>
      <c r="C61" t="inlineStr">
        <is>
          <t>CC-CC003-0145</t>
        </is>
      </c>
      <c r="D61" t="inlineStr">
        <is>
          <t>TAM</t>
        </is>
      </c>
      <c r="E61" t="inlineStr">
        <is>
          <t>Blancoz</t>
        </is>
      </c>
      <c r="F61" t="inlineStr">
        <is>
          <t>Burnt Cheesecake</t>
        </is>
      </c>
      <c r="G61" t="inlineStr">
        <is>
          <t>1 Cake (12 slices)</t>
        </is>
      </c>
      <c r="H61" s="5" t="n">
        <v>1</v>
      </c>
      <c r="I61" s="5" t="n">
        <v>12</v>
      </c>
      <c r="J61">
        <f>H61*I61</f>
        <v/>
      </c>
      <c r="K61" t="n">
        <v>100</v>
      </c>
      <c r="L61" t="n">
        <v>100</v>
      </c>
    </row>
    <row r="62">
      <c r="A62" t="inlineStr">
        <is>
          <t>2026-07</t>
        </is>
      </c>
      <c r="B62" t="inlineStr">
        <is>
          <t>2026-07-01</t>
        </is>
      </c>
      <c r="C62" t="inlineStr">
        <is>
          <t>CC-CC003-0166</t>
        </is>
      </c>
      <c r="D62" t="inlineStr">
        <is>
          <t>TAM</t>
        </is>
      </c>
      <c r="E62" t="inlineStr">
        <is>
          <t>Blancoz</t>
        </is>
      </c>
      <c r="F62" t="inlineStr">
        <is>
          <t>Burnt Cheesecake</t>
        </is>
      </c>
      <c r="G62" t="inlineStr">
        <is>
          <t>1 Cake (12 slices)</t>
        </is>
      </c>
      <c r="H62" s="5" t="n">
        <v>1</v>
      </c>
      <c r="I62" s="5" t="n">
        <v>12</v>
      </c>
      <c r="J62">
        <f>H62*I62</f>
        <v/>
      </c>
      <c r="K62" t="n">
        <v>100</v>
      </c>
      <c r="L62" t="n">
        <v>100</v>
      </c>
    </row>
    <row r="63">
      <c r="A63" t="inlineStr">
        <is>
          <t>2026-07</t>
        </is>
      </c>
      <c r="B63" t="inlineStr">
        <is>
          <t>2026-07-01</t>
        </is>
      </c>
      <c r="C63" t="inlineStr">
        <is>
          <t>CC-CC001-0252</t>
        </is>
      </c>
      <c r="D63" t="inlineStr">
        <is>
          <t>PJ</t>
        </is>
      </c>
      <c r="E63" t="inlineStr">
        <is>
          <t>Blancoz</t>
        </is>
      </c>
      <c r="F63" t="inlineStr">
        <is>
          <t>Burnt Cheesecake</t>
        </is>
      </c>
      <c r="G63" t="inlineStr">
        <is>
          <t>1 Cake (12 slices)</t>
        </is>
      </c>
      <c r="H63" s="5" t="n">
        <v>2</v>
      </c>
      <c r="I63" s="5" t="n">
        <v>12</v>
      </c>
      <c r="J63">
        <f>H63*I63</f>
        <v/>
      </c>
      <c r="K63" t="n">
        <v>100</v>
      </c>
      <c r="L63" t="n">
        <v>200</v>
      </c>
    </row>
    <row r="64">
      <c r="A64" t="inlineStr">
        <is>
          <t>2026-07</t>
        </is>
      </c>
      <c r="B64" t="inlineStr">
        <is>
          <t>2026-07-01</t>
        </is>
      </c>
      <c r="C64" t="inlineStr">
        <is>
          <t>CC-CC002-0240</t>
        </is>
      </c>
      <c r="D64" t="inlineStr">
        <is>
          <t>SA</t>
        </is>
      </c>
      <c r="E64" t="inlineStr">
        <is>
          <t>Blancoz</t>
        </is>
      </c>
      <c r="F64" t="inlineStr">
        <is>
          <t>Burnt Cheesecake</t>
        </is>
      </c>
      <c r="G64" t="inlineStr">
        <is>
          <t>1 Cake (12 slices)</t>
        </is>
      </c>
      <c r="H64" s="5" t="n">
        <v>1</v>
      </c>
      <c r="I64" s="5" t="n">
        <v>12</v>
      </c>
      <c r="J64">
        <f>H64*I64</f>
        <v/>
      </c>
      <c r="K64" t="n">
        <v>100</v>
      </c>
      <c r="L64" t="n">
        <v>100</v>
      </c>
    </row>
    <row r="65">
      <c r="A65" t="inlineStr">
        <is>
          <t>2026-07</t>
        </is>
      </c>
      <c r="B65" t="inlineStr">
        <is>
          <t>2026-07-05</t>
        </is>
      </c>
      <c r="C65" t="inlineStr">
        <is>
          <t>CC-CC001-0269</t>
        </is>
      </c>
      <c r="D65" t="inlineStr">
        <is>
          <t>PJ</t>
        </is>
      </c>
      <c r="E65" t="inlineStr">
        <is>
          <t>Blancoz</t>
        </is>
      </c>
      <c r="F65" t="inlineStr">
        <is>
          <t>Burnt Cheesecake</t>
        </is>
      </c>
      <c r="G65" t="inlineStr">
        <is>
          <t>1 Cake (12 slices)</t>
        </is>
      </c>
      <c r="H65" s="5" t="n">
        <v>2</v>
      </c>
      <c r="I65" s="5" t="n">
        <v>12</v>
      </c>
      <c r="J65">
        <f>H65*I65</f>
        <v/>
      </c>
      <c r="K65" t="n">
        <v>100</v>
      </c>
      <c r="L65" t="n">
        <v>200</v>
      </c>
    </row>
    <row r="66">
      <c r="A66" t="inlineStr">
        <is>
          <t>2026-07</t>
        </is>
      </c>
      <c r="B66" t="inlineStr">
        <is>
          <t>2026-07-05</t>
        </is>
      </c>
      <c r="C66" t="inlineStr">
        <is>
          <t>CC-CC002-0255</t>
        </is>
      </c>
      <c r="D66" t="inlineStr">
        <is>
          <t>SA</t>
        </is>
      </c>
      <c r="E66" t="inlineStr">
        <is>
          <t>Blancoz</t>
        </is>
      </c>
      <c r="F66" t="inlineStr">
        <is>
          <t>Burnt Cheesecake</t>
        </is>
      </c>
      <c r="G66" t="inlineStr">
        <is>
          <t>1 Cake (12 slices)</t>
        </is>
      </c>
      <c r="H66" s="5" t="n">
        <v>1</v>
      </c>
      <c r="I66" s="5" t="n">
        <v>12</v>
      </c>
      <c r="J66">
        <f>H66*I66</f>
        <v/>
      </c>
      <c r="K66" t="n">
        <v>100</v>
      </c>
      <c r="L66" t="n">
        <v>100</v>
      </c>
    </row>
    <row r="67">
      <c r="A67" t="inlineStr">
        <is>
          <t>2026-07</t>
        </is>
      </c>
      <c r="B67" t="inlineStr">
        <is>
          <t>2026-07-05</t>
        </is>
      </c>
      <c r="C67" t="inlineStr">
        <is>
          <t>CC-CC003-0177</t>
        </is>
      </c>
      <c r="D67" t="inlineStr">
        <is>
          <t>TAM</t>
        </is>
      </c>
      <c r="E67" t="inlineStr">
        <is>
          <t>Blancoz</t>
        </is>
      </c>
      <c r="F67" t="inlineStr">
        <is>
          <t>Burnt Cheesecake</t>
        </is>
      </c>
      <c r="G67" t="inlineStr">
        <is>
          <t>1 Cake (12 slices)</t>
        </is>
      </c>
      <c r="H67" s="5" t="n">
        <v>1</v>
      </c>
      <c r="I67" s="5" t="n">
        <v>12</v>
      </c>
      <c r="J67">
        <f>H67*I67</f>
        <v/>
      </c>
      <c r="K67" t="n">
        <v>100</v>
      </c>
      <c r="L67" t="n">
        <v>100</v>
      </c>
    </row>
    <row r="68">
      <c r="A68" t="inlineStr">
        <is>
          <t>2026-07</t>
        </is>
      </c>
      <c r="B68" t="inlineStr">
        <is>
          <t>2026-07-07</t>
        </is>
      </c>
      <c r="C68" t="inlineStr">
        <is>
          <t>CC-CC003-0180</t>
        </is>
      </c>
      <c r="D68" t="inlineStr">
        <is>
          <t>TAM</t>
        </is>
      </c>
      <c r="E68" t="inlineStr">
        <is>
          <t>Blancoz</t>
        </is>
      </c>
      <c r="F68" t="inlineStr">
        <is>
          <t>Burnt Cheesecake</t>
        </is>
      </c>
      <c r="G68" t="inlineStr">
        <is>
          <t>1 Cake (12 slices)</t>
        </is>
      </c>
      <c r="H68" s="5" t="n">
        <v>1</v>
      </c>
      <c r="I68" s="5" t="n">
        <v>12</v>
      </c>
      <c r="J68">
        <f>H68*I68</f>
        <v/>
      </c>
      <c r="K68" t="n">
        <v>100</v>
      </c>
      <c r="L68" t="n">
        <v>100</v>
      </c>
    </row>
    <row r="69">
      <c r="A69" t="inlineStr">
        <is>
          <t>2026-07</t>
        </is>
      </c>
      <c r="B69" t="inlineStr">
        <is>
          <t>2026-07-07</t>
        </is>
      </c>
      <c r="C69" t="inlineStr">
        <is>
          <t>CC-CC002-0260</t>
        </is>
      </c>
      <c r="D69" t="inlineStr">
        <is>
          <t>SA</t>
        </is>
      </c>
      <c r="E69" t="inlineStr">
        <is>
          <t>Blancoz</t>
        </is>
      </c>
      <c r="F69" t="inlineStr">
        <is>
          <t>Burnt Cheesecake</t>
        </is>
      </c>
      <c r="G69" t="inlineStr">
        <is>
          <t>1 Cake (12 slices)</t>
        </is>
      </c>
      <c r="H69" s="5" t="n">
        <v>1</v>
      </c>
      <c r="I69" s="5" t="n">
        <v>12</v>
      </c>
      <c r="J69">
        <f>H69*I69</f>
        <v/>
      </c>
      <c r="K69" t="n">
        <v>100</v>
      </c>
      <c r="L69" t="n">
        <v>100</v>
      </c>
    </row>
    <row r="70">
      <c r="A70" t="inlineStr">
        <is>
          <t>2026-07</t>
        </is>
      </c>
      <c r="B70" t="inlineStr">
        <is>
          <t>2026-07-07</t>
        </is>
      </c>
      <c r="C70" t="inlineStr">
        <is>
          <t>CC-CC001-0275</t>
        </is>
      </c>
      <c r="D70" t="inlineStr">
        <is>
          <t>PJ</t>
        </is>
      </c>
      <c r="E70" t="inlineStr">
        <is>
          <t>Blancoz</t>
        </is>
      </c>
      <c r="F70" t="inlineStr">
        <is>
          <t>Burnt Cheesecake</t>
        </is>
      </c>
      <c r="G70" t="inlineStr">
        <is>
          <t>1 Cake (12 slices)</t>
        </is>
      </c>
      <c r="H70" s="5" t="n">
        <v>2</v>
      </c>
      <c r="I70" s="5" t="n">
        <v>12</v>
      </c>
      <c r="J70">
        <f>H70*I70</f>
        <v/>
      </c>
      <c r="K70" t="n">
        <v>100</v>
      </c>
      <c r="L70" t="n">
        <v>200</v>
      </c>
    </row>
    <row r="71">
      <c r="A71" t="inlineStr">
        <is>
          <t>2026-07</t>
        </is>
      </c>
      <c r="B71" t="inlineStr">
        <is>
          <t>2026-07-13</t>
        </is>
      </c>
      <c r="C71" t="inlineStr">
        <is>
          <t>CC-CC001-0287</t>
        </is>
      </c>
      <c r="D71" t="inlineStr">
        <is>
          <t>PJ</t>
        </is>
      </c>
      <c r="E71" t="inlineStr">
        <is>
          <t>Blancoz</t>
        </is>
      </c>
      <c r="F71" t="inlineStr">
        <is>
          <t>Burnt Cheesecake</t>
        </is>
      </c>
      <c r="G71" t="inlineStr">
        <is>
          <t>1 Cake (12 slices)</t>
        </is>
      </c>
      <c r="H71" s="5" t="n">
        <v>2</v>
      </c>
      <c r="I71" s="5" t="n">
        <v>12</v>
      </c>
      <c r="J71">
        <f>H71*I71</f>
        <v/>
      </c>
      <c r="K71" t="n">
        <v>100</v>
      </c>
      <c r="L71" t="n">
        <v>200</v>
      </c>
    </row>
    <row r="72">
      <c r="A72" t="inlineStr">
        <is>
          <t>2026-07</t>
        </is>
      </c>
      <c r="B72" t="inlineStr">
        <is>
          <t>2026-07-13</t>
        </is>
      </c>
      <c r="C72" t="inlineStr">
        <is>
          <t>CC-CC002-0272</t>
        </is>
      </c>
      <c r="D72" t="inlineStr">
        <is>
          <t>SA</t>
        </is>
      </c>
      <c r="E72" t="inlineStr">
        <is>
          <t>Blancoz</t>
        </is>
      </c>
      <c r="F72" t="inlineStr">
        <is>
          <t>Burnt Cheesecake</t>
        </is>
      </c>
      <c r="G72" t="inlineStr">
        <is>
          <t>1 Cake (12 slices)</t>
        </is>
      </c>
      <c r="H72" s="5" t="n">
        <v>1</v>
      </c>
      <c r="I72" s="5" t="n">
        <v>12</v>
      </c>
      <c r="J72">
        <f>H72*I72</f>
        <v/>
      </c>
      <c r="K72" t="n">
        <v>100</v>
      </c>
      <c r="L72" t="n">
        <v>100</v>
      </c>
    </row>
    <row r="73">
      <c r="A73" t="inlineStr">
        <is>
          <t>2026-07</t>
        </is>
      </c>
      <c r="B73" t="inlineStr">
        <is>
          <t>2026-07-13</t>
        </is>
      </c>
      <c r="C73" t="inlineStr">
        <is>
          <t>CC-CC003-0189</t>
        </is>
      </c>
      <c r="D73" t="inlineStr">
        <is>
          <t>TAM</t>
        </is>
      </c>
      <c r="E73" t="inlineStr">
        <is>
          <t>Blancoz</t>
        </is>
      </c>
      <c r="F73" t="inlineStr">
        <is>
          <t>Burnt Cheesecake</t>
        </is>
      </c>
      <c r="G73" t="inlineStr">
        <is>
          <t>1 Cake (12 slices)</t>
        </is>
      </c>
      <c r="H73" s="5" t="n">
        <v>1</v>
      </c>
      <c r="I73" s="5" t="n">
        <v>12</v>
      </c>
      <c r="J73">
        <f>H73*I73</f>
        <v/>
      </c>
      <c r="K73" t="n">
        <v>100</v>
      </c>
      <c r="L73" t="n">
        <v>100</v>
      </c>
    </row>
    <row r="74">
      <c r="A74" t="inlineStr">
        <is>
          <t>2026-07</t>
        </is>
      </c>
      <c r="B74" t="inlineStr">
        <is>
          <t>2026-07-15</t>
        </is>
      </c>
      <c r="C74" t="inlineStr">
        <is>
          <t>CC-CC002-0281</t>
        </is>
      </c>
      <c r="D74" t="inlineStr">
        <is>
          <t>SA</t>
        </is>
      </c>
      <c r="E74" t="inlineStr">
        <is>
          <t>Blancoz</t>
        </is>
      </c>
      <c r="F74" t="inlineStr">
        <is>
          <t>Burnt Cheesecake</t>
        </is>
      </c>
      <c r="G74" t="inlineStr">
        <is>
          <t>1 Cake (12 slices)</t>
        </is>
      </c>
      <c r="H74" s="5" t="n">
        <v>2</v>
      </c>
      <c r="I74" s="5" t="n">
        <v>12</v>
      </c>
      <c r="J74">
        <f>H74*I74</f>
        <v/>
      </c>
      <c r="K74" t="n">
        <v>100</v>
      </c>
      <c r="L74" t="n">
        <v>200</v>
      </c>
    </row>
    <row r="75">
      <c r="A75" t="inlineStr">
        <is>
          <t>2026-07</t>
        </is>
      </c>
      <c r="B75" t="inlineStr">
        <is>
          <t>2026-07-17</t>
        </is>
      </c>
      <c r="C75" t="inlineStr">
        <is>
          <t>CC-CC001-0301</t>
        </is>
      </c>
      <c r="D75" t="inlineStr">
        <is>
          <t>PJ</t>
        </is>
      </c>
      <c r="E75" t="inlineStr">
        <is>
          <t>Blancoz</t>
        </is>
      </c>
      <c r="F75" t="inlineStr">
        <is>
          <t>Burnt Cheesecake</t>
        </is>
      </c>
      <c r="G75" t="inlineStr">
        <is>
          <t>1 Cake (12 slices)</t>
        </is>
      </c>
      <c r="H75" s="5" t="n">
        <v>0</v>
      </c>
      <c r="I75" s="5" t="n">
        <v>12</v>
      </c>
      <c r="J75">
        <f>H75*I75</f>
        <v/>
      </c>
      <c r="K75" t="n">
        <v>100</v>
      </c>
      <c r="L75" t="n">
        <v>0</v>
      </c>
    </row>
    <row r="76">
      <c r="A76" t="inlineStr">
        <is>
          <t>2026-07</t>
        </is>
      </c>
      <c r="B76" t="inlineStr">
        <is>
          <t>2026-07-17</t>
        </is>
      </c>
      <c r="C76" t="inlineStr">
        <is>
          <t>CC-CC002-0291</t>
        </is>
      </c>
      <c r="D76" t="inlineStr">
        <is>
          <t>SA</t>
        </is>
      </c>
      <c r="E76" t="inlineStr">
        <is>
          <t>Blancoz</t>
        </is>
      </c>
      <c r="F76" t="inlineStr">
        <is>
          <t>Burnt Cheesecake</t>
        </is>
      </c>
      <c r="G76" t="inlineStr">
        <is>
          <t>1 Cake (12 slices)</t>
        </is>
      </c>
      <c r="H76" s="5" t="n">
        <v>2</v>
      </c>
      <c r="I76" s="5" t="n">
        <v>12</v>
      </c>
      <c r="J76">
        <f>H76*I76</f>
        <v/>
      </c>
      <c r="K76" t="n">
        <v>100</v>
      </c>
      <c r="L76" t="n">
        <v>200</v>
      </c>
    </row>
    <row r="77">
      <c r="A77" t="inlineStr">
        <is>
          <t>2026-07</t>
        </is>
      </c>
      <c r="B77" t="inlineStr">
        <is>
          <t>2026-07-17</t>
        </is>
      </c>
      <c r="C77" t="inlineStr">
        <is>
          <t>CC-CC003-0202</t>
        </is>
      </c>
      <c r="D77" t="inlineStr">
        <is>
          <t>TAM</t>
        </is>
      </c>
      <c r="E77" t="inlineStr">
        <is>
          <t>Blancoz</t>
        </is>
      </c>
      <c r="F77" t="inlineStr">
        <is>
          <t>Burnt Cheesecake</t>
        </is>
      </c>
      <c r="G77" t="inlineStr">
        <is>
          <t>1 Cake (12 slices)</t>
        </is>
      </c>
      <c r="H77" s="5" t="n">
        <v>2</v>
      </c>
      <c r="I77" s="5" t="n">
        <v>12</v>
      </c>
      <c r="J77">
        <f>H77*I77</f>
        <v/>
      </c>
      <c r="K77" t="n">
        <v>100</v>
      </c>
      <c r="L77" t="n">
        <v>200</v>
      </c>
    </row>
    <row r="78">
      <c r="A78" t="inlineStr">
        <is>
          <t>2026-07</t>
        </is>
      </c>
      <c r="B78" t="inlineStr">
        <is>
          <t>2026-07-22</t>
        </is>
      </c>
      <c r="C78" t="inlineStr">
        <is>
          <t>CC-CC001-0314</t>
        </is>
      </c>
      <c r="D78" t="inlineStr">
        <is>
          <t>PJ</t>
        </is>
      </c>
      <c r="E78" t="inlineStr">
        <is>
          <t>Blancoz</t>
        </is>
      </c>
      <c r="F78" t="inlineStr">
        <is>
          <t>Burnt Cheesecake</t>
        </is>
      </c>
      <c r="G78" t="inlineStr">
        <is>
          <t>1 Cake (12 slices)</t>
        </is>
      </c>
      <c r="H78" s="5" t="n">
        <v>2</v>
      </c>
      <c r="I78" s="5" t="n">
        <v>12</v>
      </c>
      <c r="J78">
        <f>H78*I78</f>
        <v/>
      </c>
      <c r="K78" t="n">
        <v>100</v>
      </c>
      <c r="L78" t="n">
        <v>200</v>
      </c>
    </row>
    <row r="79">
      <c r="A79" t="inlineStr">
        <is>
          <t>2026-07</t>
        </is>
      </c>
      <c r="B79" t="inlineStr">
        <is>
          <t>2026-07-22</t>
        </is>
      </c>
      <c r="C79" t="inlineStr">
        <is>
          <t>CC-CC002-0300</t>
        </is>
      </c>
      <c r="D79" t="inlineStr">
        <is>
          <t>SA</t>
        </is>
      </c>
      <c r="E79" t="inlineStr">
        <is>
          <t>Blancoz</t>
        </is>
      </c>
      <c r="F79" t="inlineStr">
        <is>
          <t>Burnt Cheesecake</t>
        </is>
      </c>
      <c r="G79" t="inlineStr">
        <is>
          <t>1 Cake (12 slices)</t>
        </is>
      </c>
      <c r="H79" s="5" t="n">
        <v>2</v>
      </c>
      <c r="I79" s="5" t="n">
        <v>12</v>
      </c>
      <c r="J79">
        <f>H79*I79</f>
        <v/>
      </c>
      <c r="K79" t="n">
        <v>100</v>
      </c>
      <c r="L79" t="n">
        <v>200</v>
      </c>
    </row>
    <row r="80">
      <c r="A80" t="inlineStr">
        <is>
          <t>2026-07</t>
        </is>
      </c>
      <c r="B80" t="inlineStr">
        <is>
          <t>2026-07-22</t>
        </is>
      </c>
      <c r="C80" t="inlineStr">
        <is>
          <t>CC-CC003-0205</t>
        </is>
      </c>
      <c r="D80" t="inlineStr">
        <is>
          <t>TAM</t>
        </is>
      </c>
      <c r="E80" t="inlineStr">
        <is>
          <t>Blancoz</t>
        </is>
      </c>
      <c r="F80" t="inlineStr">
        <is>
          <t>Burnt Cheesecake</t>
        </is>
      </c>
      <c r="G80" t="inlineStr">
        <is>
          <t>1 Cake (12 slices)</t>
        </is>
      </c>
      <c r="H80" s="5" t="n">
        <v>1</v>
      </c>
      <c r="I80" s="5" t="n">
        <v>12</v>
      </c>
      <c r="J80">
        <f>H80*I80</f>
        <v/>
      </c>
      <c r="K80" t="n">
        <v>100</v>
      </c>
      <c r="L80" t="n">
        <v>100</v>
      </c>
    </row>
    <row r="81">
      <c r="A81" t="inlineStr">
        <is>
          <t>2026-07</t>
        </is>
      </c>
      <c r="B81" t="inlineStr">
        <is>
          <t>2026-07-26</t>
        </is>
      </c>
      <c r="C81" t="inlineStr">
        <is>
          <t>CC-CC001-0327</t>
        </is>
      </c>
      <c r="D81" t="inlineStr">
        <is>
          <t>PJ</t>
        </is>
      </c>
      <c r="E81" t="inlineStr">
        <is>
          <t>Blancoz</t>
        </is>
      </c>
      <c r="F81" t="inlineStr">
        <is>
          <t>Burnt Cheesecake</t>
        </is>
      </c>
      <c r="G81" t="inlineStr">
        <is>
          <t>1 Cake (12 slices)</t>
        </is>
      </c>
      <c r="H81" s="5" t="n">
        <v>1</v>
      </c>
      <c r="I81" s="5" t="n">
        <v>12</v>
      </c>
      <c r="J81">
        <f>H81*I81</f>
        <v/>
      </c>
      <c r="K81" t="n">
        <v>100</v>
      </c>
      <c r="L81" t="n">
        <v>100</v>
      </c>
    </row>
    <row r="82">
      <c r="A82" t="inlineStr">
        <is>
          <t>2026-07</t>
        </is>
      </c>
      <c r="B82" t="inlineStr">
        <is>
          <t>2026-07-26</t>
        </is>
      </c>
      <c r="C82" t="inlineStr">
        <is>
          <t>CC-CC002-0317</t>
        </is>
      </c>
      <c r="D82" t="inlineStr">
        <is>
          <t>SA</t>
        </is>
      </c>
      <c r="E82" t="inlineStr">
        <is>
          <t>Blancoz</t>
        </is>
      </c>
      <c r="F82" t="inlineStr">
        <is>
          <t>Burnt Cheesecake</t>
        </is>
      </c>
      <c r="G82" t="inlineStr">
        <is>
          <t>1 Cake (12 slices)</t>
        </is>
      </c>
      <c r="H82" s="5" t="n">
        <v>1</v>
      </c>
      <c r="I82" s="5" t="n">
        <v>12</v>
      </c>
      <c r="J82">
        <f>H82*I82</f>
        <v/>
      </c>
      <c r="K82" t="n">
        <v>100</v>
      </c>
      <c r="L82" t="n">
        <v>100</v>
      </c>
    </row>
    <row r="83">
      <c r="A83" t="inlineStr">
        <is>
          <t>2026-07</t>
        </is>
      </c>
      <c r="B83" t="inlineStr">
        <is>
          <t>2026-07-26</t>
        </is>
      </c>
      <c r="C83" t="inlineStr">
        <is>
          <t>CC-CC003-0214</t>
        </is>
      </c>
      <c r="D83" t="inlineStr">
        <is>
          <t>TAM</t>
        </is>
      </c>
      <c r="E83" t="inlineStr">
        <is>
          <t>Blancoz</t>
        </is>
      </c>
      <c r="F83" t="inlineStr">
        <is>
          <t>Burnt Cheesecake</t>
        </is>
      </c>
      <c r="G83" t="inlineStr">
        <is>
          <t>1 Cake (12 slices)</t>
        </is>
      </c>
      <c r="H83" s="5" t="n">
        <v>2</v>
      </c>
      <c r="I83" s="5" t="n">
        <v>12</v>
      </c>
      <c r="J83">
        <f>H83*I83</f>
        <v/>
      </c>
      <c r="K83" t="n">
        <v>100</v>
      </c>
      <c r="L83" t="n">
        <v>200</v>
      </c>
    </row>
    <row r="84">
      <c r="A84" t="inlineStr">
        <is>
          <t>2026-04</t>
        </is>
      </c>
      <c r="B84" t="inlineStr">
        <is>
          <t>2026-04-14</t>
        </is>
      </c>
      <c r="C84" t="inlineStr">
        <is>
          <t>CC-CC002-0004</t>
        </is>
      </c>
      <c r="D84" t="inlineStr">
        <is>
          <t>SA</t>
        </is>
      </c>
      <c r="E84" t="inlineStr">
        <is>
          <t>Milk n Moka</t>
        </is>
      </c>
      <c r="F84" t="inlineStr">
        <is>
          <t>Fresh Milk</t>
        </is>
      </c>
      <c r="G84" t="inlineStr">
        <is>
          <t>Carton (12× 1,000ml Bottle)</t>
        </is>
      </c>
      <c r="H84" s="5" t="n">
        <v>6</v>
      </c>
      <c r="I84" s="5" t="n">
        <v>12000</v>
      </c>
      <c r="J84">
        <f>H84*I84</f>
        <v/>
      </c>
      <c r="K84" t="n">
        <v>84</v>
      </c>
      <c r="L84" t="n">
        <v>504</v>
      </c>
    </row>
    <row r="85">
      <c r="A85" t="inlineStr">
        <is>
          <t>2026-04</t>
        </is>
      </c>
      <c r="B85" t="inlineStr">
        <is>
          <t>2026-04-14</t>
        </is>
      </c>
      <c r="C85" t="inlineStr">
        <is>
          <t>CC-CC001-0010</t>
        </is>
      </c>
      <c r="D85" t="inlineStr">
        <is>
          <t>PJ</t>
        </is>
      </c>
      <c r="E85" t="inlineStr">
        <is>
          <t>The Milk Ministry</t>
        </is>
      </c>
      <c r="F85" t="inlineStr">
        <is>
          <t>Fresh Milk</t>
        </is>
      </c>
      <c r="G85" t="inlineStr">
        <is>
          <t>Carton (12× 2,000ml Bottle)</t>
        </is>
      </c>
      <c r="H85" s="5" t="n">
        <v>8</v>
      </c>
      <c r="I85" s="5" t="n">
        <v>24000</v>
      </c>
      <c r="J85">
        <f>H85*I85</f>
        <v/>
      </c>
      <c r="K85" t="n">
        <v>81.78</v>
      </c>
      <c r="L85" t="n">
        <v>654.24</v>
      </c>
    </row>
    <row r="86">
      <c r="A86" t="inlineStr">
        <is>
          <t>2026-04</t>
        </is>
      </c>
      <c r="B86" t="inlineStr">
        <is>
          <t>2026-04-16</t>
        </is>
      </c>
      <c r="C86" t="inlineStr">
        <is>
          <t>CC-CC003-0007</t>
        </is>
      </c>
      <c r="D86" t="inlineStr">
        <is>
          <t>TAM</t>
        </is>
      </c>
      <c r="E86" t="inlineStr">
        <is>
          <t>The Milk Ministry</t>
        </is>
      </c>
      <c r="F86" t="inlineStr">
        <is>
          <t>Fresh Milk</t>
        </is>
      </c>
      <c r="G86" t="inlineStr">
        <is>
          <t>Carton (12× 2,000ml Bottle)</t>
        </is>
      </c>
      <c r="H86" s="5" t="n">
        <v>8</v>
      </c>
      <c r="I86" s="5" t="n">
        <v>24000</v>
      </c>
      <c r="J86">
        <f>H86*I86</f>
        <v/>
      </c>
      <c r="K86" t="n">
        <v>81.78</v>
      </c>
      <c r="L86" t="n">
        <v>654.24</v>
      </c>
    </row>
    <row r="87">
      <c r="A87" t="inlineStr">
        <is>
          <t>2026-04</t>
        </is>
      </c>
      <c r="B87" t="inlineStr">
        <is>
          <t>2026-04-16</t>
        </is>
      </c>
      <c r="C87" t="inlineStr">
        <is>
          <t>PC-CC002-0008</t>
        </is>
      </c>
      <c r="D87" t="inlineStr">
        <is>
          <t>SA</t>
        </is>
      </c>
      <c r="E87" t="inlineStr">
        <is>
          <t>Ad-hoc Purchase</t>
        </is>
      </c>
      <c r="F87" t="inlineStr">
        <is>
          <t>Fresh Milk</t>
        </is>
      </c>
      <c r="G87" t="inlineStr">
        <is>
          <t>Carton (12× 1,000ml Bottle)</t>
        </is>
      </c>
      <c r="H87" s="5" t="n">
        <v>3</v>
      </c>
      <c r="I87" s="5" t="n">
        <v>12000</v>
      </c>
      <c r="J87">
        <f>H87*I87</f>
        <v/>
      </c>
      <c r="K87" t="n">
        <v>16.2</v>
      </c>
      <c r="L87" t="n">
        <v>48.6</v>
      </c>
    </row>
    <row r="88">
      <c r="A88" t="inlineStr">
        <is>
          <t>2026-04</t>
        </is>
      </c>
      <c r="B88" t="inlineStr">
        <is>
          <t>2026-04-19</t>
        </is>
      </c>
      <c r="C88" t="inlineStr">
        <is>
          <t>CC-CC002-0020</t>
        </is>
      </c>
      <c r="D88" t="inlineStr">
        <is>
          <t>SA</t>
        </is>
      </c>
      <c r="E88" t="inlineStr">
        <is>
          <t>Milk n Moka</t>
        </is>
      </c>
      <c r="F88" t="inlineStr">
        <is>
          <t>Fresh Milk</t>
        </is>
      </c>
      <c r="G88" t="inlineStr">
        <is>
          <t>Carton (12× 1,000ml Bottle)</t>
        </is>
      </c>
      <c r="H88" s="5" t="n">
        <v>6</v>
      </c>
      <c r="I88" s="5" t="n">
        <v>12000</v>
      </c>
      <c r="J88">
        <f>H88*I88</f>
        <v/>
      </c>
      <c r="K88" t="n">
        <v>84</v>
      </c>
      <c r="L88" t="n">
        <v>504</v>
      </c>
    </row>
    <row r="89">
      <c r="A89" t="inlineStr">
        <is>
          <t>2026-04</t>
        </is>
      </c>
      <c r="B89" t="inlineStr">
        <is>
          <t>2026-04-19</t>
        </is>
      </c>
      <c r="C89" t="inlineStr">
        <is>
          <t>CC-CC002-0021</t>
        </is>
      </c>
      <c r="D89" t="inlineStr">
        <is>
          <t>SA</t>
        </is>
      </c>
      <c r="E89" t="inlineStr">
        <is>
          <t>Milk n Moka</t>
        </is>
      </c>
      <c r="F89" t="inlineStr">
        <is>
          <t>Fresh Milk</t>
        </is>
      </c>
      <c r="G89" t="inlineStr">
        <is>
          <t>Carton (12× 1,000ml Bottle)</t>
        </is>
      </c>
      <c r="H89" s="5" t="n">
        <v>6</v>
      </c>
      <c r="I89" s="5" t="n">
        <v>12000</v>
      </c>
      <c r="J89">
        <f>H89*I89</f>
        <v/>
      </c>
      <c r="K89" t="n">
        <v>84</v>
      </c>
      <c r="L89" t="n">
        <v>504</v>
      </c>
    </row>
    <row r="90">
      <c r="A90" t="inlineStr">
        <is>
          <t>2026-04</t>
        </is>
      </c>
      <c r="B90" t="inlineStr">
        <is>
          <t>2026-04-22</t>
        </is>
      </c>
      <c r="C90" t="inlineStr">
        <is>
          <t>CC-CC001-0027</t>
        </is>
      </c>
      <c r="D90" t="inlineStr">
        <is>
          <t>PJ</t>
        </is>
      </c>
      <c r="E90" t="inlineStr">
        <is>
          <t>The Milk Ministry</t>
        </is>
      </c>
      <c r="F90" t="inlineStr">
        <is>
          <t>Fresh Milk</t>
        </is>
      </c>
      <c r="G90" t="inlineStr">
        <is>
          <t>Carton (12× 2,000ml Bottle)</t>
        </is>
      </c>
      <c r="H90" s="5" t="n">
        <v>8</v>
      </c>
      <c r="I90" s="5" t="n">
        <v>24000</v>
      </c>
      <c r="J90">
        <f>H90*I90</f>
        <v/>
      </c>
      <c r="K90" t="n">
        <v>81.78</v>
      </c>
      <c r="L90" t="n">
        <v>654.24</v>
      </c>
    </row>
    <row r="91">
      <c r="A91" t="inlineStr">
        <is>
          <t>2026-04</t>
        </is>
      </c>
      <c r="B91" t="inlineStr">
        <is>
          <t>2026-04-22</t>
        </is>
      </c>
      <c r="C91" t="inlineStr">
        <is>
          <t>CC-CC003-0014</t>
        </is>
      </c>
      <c r="D91" t="inlineStr">
        <is>
          <t>TAM</t>
        </is>
      </c>
      <c r="E91" t="inlineStr">
        <is>
          <t>The Milk Ministry</t>
        </is>
      </c>
      <c r="F91" t="inlineStr">
        <is>
          <t>Fresh Milk</t>
        </is>
      </c>
      <c r="G91" t="inlineStr">
        <is>
          <t>Carton (12× 1,000ml Bottle)</t>
        </is>
      </c>
      <c r="H91" s="5" t="n">
        <v>8</v>
      </c>
      <c r="I91" s="5" t="n">
        <v>12000</v>
      </c>
      <c r="J91">
        <f>H91*I91</f>
        <v/>
      </c>
      <c r="K91" t="n">
        <v>84.45999999999999</v>
      </c>
      <c r="L91" t="n">
        <v>675.6799999999999</v>
      </c>
    </row>
    <row r="92">
      <c r="A92" t="inlineStr">
        <is>
          <t>2026-04</t>
        </is>
      </c>
      <c r="B92" t="inlineStr">
        <is>
          <t>2026-04-23</t>
        </is>
      </c>
      <c r="C92" t="inlineStr">
        <is>
          <t>PC-CC001-0027</t>
        </is>
      </c>
      <c r="D92" t="inlineStr">
        <is>
          <t>PJ</t>
        </is>
      </c>
      <c r="E92" t="inlineStr">
        <is>
          <t>Ad-hoc Purchase</t>
        </is>
      </c>
      <c r="F92" t="inlineStr">
        <is>
          <t>Fresh Milk</t>
        </is>
      </c>
      <c r="G92" t="inlineStr">
        <is>
          <t>(no pkg)</t>
        </is>
      </c>
      <c r="H92" s="5" t="n">
        <v>2</v>
      </c>
      <c r="I92" s="5" t="n">
        <v>1</v>
      </c>
      <c r="J92">
        <f>H92*I92</f>
        <v/>
      </c>
      <c r="K92" t="n">
        <v>16.2</v>
      </c>
      <c r="L92" t="n">
        <v>32.4</v>
      </c>
    </row>
    <row r="93">
      <c r="A93" t="inlineStr">
        <is>
          <t>2026-04</t>
        </is>
      </c>
      <c r="B93" t="inlineStr">
        <is>
          <t>2026-04-23</t>
        </is>
      </c>
      <c r="C93" t="inlineStr">
        <is>
          <t>PC-CC003-0013</t>
        </is>
      </c>
      <c r="D93" t="inlineStr">
        <is>
          <t>TAM</t>
        </is>
      </c>
      <c r="E93" t="inlineStr">
        <is>
          <t>Ad-hoc Purchase</t>
        </is>
      </c>
      <c r="F93" t="inlineStr">
        <is>
          <t>Fresh Milk</t>
        </is>
      </c>
      <c r="G93" t="inlineStr">
        <is>
          <t>(no pkg)</t>
        </is>
      </c>
      <c r="H93" s="5" t="n">
        <v>1</v>
      </c>
      <c r="I93" s="5" t="n">
        <v>1</v>
      </c>
      <c r="J93">
        <f>H93*I93</f>
        <v/>
      </c>
      <c r="K93" t="n">
        <v>66.8</v>
      </c>
      <c r="L93" t="n">
        <v>66.8</v>
      </c>
    </row>
    <row r="94">
      <c r="A94" t="inlineStr">
        <is>
          <t>2026-04</t>
        </is>
      </c>
      <c r="B94" t="inlineStr">
        <is>
          <t>2026-04-23</t>
        </is>
      </c>
      <c r="C94" t="inlineStr">
        <is>
          <t>PC-CC001-0039</t>
        </is>
      </c>
      <c r="D94" t="inlineStr">
        <is>
          <t>PJ</t>
        </is>
      </c>
      <c r="E94" t="inlineStr">
        <is>
          <t>Ad-hoc Purchase</t>
        </is>
      </c>
      <c r="F94" t="inlineStr">
        <is>
          <t>Fresh Milk</t>
        </is>
      </c>
      <c r="G94" t="inlineStr">
        <is>
          <t>(no pkg)</t>
        </is>
      </c>
      <c r="H94" s="5" t="n">
        <v>3</v>
      </c>
      <c r="I94" s="5" t="n">
        <v>1</v>
      </c>
      <c r="J94">
        <f>H94*I94</f>
        <v/>
      </c>
      <c r="K94" t="n">
        <v>7.9</v>
      </c>
      <c r="L94" t="n">
        <v>23.7</v>
      </c>
    </row>
    <row r="95">
      <c r="A95" t="inlineStr">
        <is>
          <t>2026-04</t>
        </is>
      </c>
      <c r="B95" t="inlineStr">
        <is>
          <t>2026-04-23</t>
        </is>
      </c>
      <c r="C95" t="inlineStr">
        <is>
          <t>PC-CC001-0046</t>
        </is>
      </c>
      <c r="D95" t="inlineStr">
        <is>
          <t>PJ</t>
        </is>
      </c>
      <c r="E95" t="inlineStr">
        <is>
          <t>Ad-hoc Purchase</t>
        </is>
      </c>
      <c r="F95" t="inlineStr">
        <is>
          <t>Fresh Milk</t>
        </is>
      </c>
      <c r="G95" t="inlineStr">
        <is>
          <t>(no pkg)</t>
        </is>
      </c>
      <c r="H95" s="5" t="n">
        <v>4</v>
      </c>
      <c r="I95" s="5" t="n">
        <v>1</v>
      </c>
      <c r="J95">
        <f>H95*I95</f>
        <v/>
      </c>
      <c r="K95" t="n">
        <v>7.9</v>
      </c>
      <c r="L95" t="n">
        <v>31.6</v>
      </c>
    </row>
    <row r="96">
      <c r="A96" t="inlineStr">
        <is>
          <t>2026-04</t>
        </is>
      </c>
      <c r="B96" t="inlineStr">
        <is>
          <t>2026-04-26</t>
        </is>
      </c>
      <c r="C96" t="inlineStr">
        <is>
          <t>PC-CC001-0047</t>
        </is>
      </c>
      <c r="D96" t="inlineStr">
        <is>
          <t>PJ</t>
        </is>
      </c>
      <c r="E96" t="inlineStr">
        <is>
          <t>Ad-hoc Purchase</t>
        </is>
      </c>
      <c r="F96" t="inlineStr">
        <is>
          <t>Fresh Milk</t>
        </is>
      </c>
      <c r="G96" t="inlineStr">
        <is>
          <t>(no pkg)</t>
        </is>
      </c>
      <c r="H96" s="5" t="n">
        <v>10</v>
      </c>
      <c r="I96" s="5" t="n">
        <v>1</v>
      </c>
      <c r="J96">
        <f>H96*I96</f>
        <v/>
      </c>
      <c r="K96" t="n">
        <v>7.95</v>
      </c>
      <c r="L96" t="n">
        <v>79.5</v>
      </c>
    </row>
    <row r="97">
      <c r="A97" t="inlineStr">
        <is>
          <t>2026-04</t>
        </is>
      </c>
      <c r="B97" t="inlineStr">
        <is>
          <t>2026-04-26</t>
        </is>
      </c>
      <c r="C97" t="inlineStr">
        <is>
          <t>PC-CC001-0048</t>
        </is>
      </c>
      <c r="D97" t="inlineStr">
        <is>
          <t>PJ</t>
        </is>
      </c>
      <c r="E97" t="inlineStr">
        <is>
          <t>Ad-hoc Purchase</t>
        </is>
      </c>
      <c r="F97" t="inlineStr">
        <is>
          <t>Fresh Milk</t>
        </is>
      </c>
      <c r="G97" t="inlineStr">
        <is>
          <t>(no pkg)</t>
        </is>
      </c>
      <c r="H97" s="5" t="n">
        <v>5</v>
      </c>
      <c r="I97" s="5" t="n">
        <v>1</v>
      </c>
      <c r="J97">
        <f>H97*I97</f>
        <v/>
      </c>
      <c r="K97" t="n">
        <v>16.2</v>
      </c>
      <c r="L97" t="n">
        <v>81</v>
      </c>
    </row>
    <row r="98">
      <c r="A98" t="inlineStr">
        <is>
          <t>2026-04</t>
        </is>
      </c>
      <c r="B98" t="inlineStr">
        <is>
          <t>2026-04-26</t>
        </is>
      </c>
      <c r="C98" t="inlineStr">
        <is>
          <t>PC-CC003-0028</t>
        </is>
      </c>
      <c r="D98" t="inlineStr">
        <is>
          <t>TAM</t>
        </is>
      </c>
      <c r="E98" t="inlineStr">
        <is>
          <t>Ad-hoc Purchase</t>
        </is>
      </c>
      <c r="F98" t="inlineStr">
        <is>
          <t>Fresh Milk</t>
        </is>
      </c>
      <c r="G98" t="inlineStr">
        <is>
          <t>(no pkg)</t>
        </is>
      </c>
      <c r="H98" s="5" t="n">
        <v>3</v>
      </c>
      <c r="I98" s="5" t="n">
        <v>1</v>
      </c>
      <c r="J98">
        <f>H98*I98</f>
        <v/>
      </c>
      <c r="K98" t="n">
        <v>16.2</v>
      </c>
      <c r="L98" t="n">
        <v>48.6</v>
      </c>
    </row>
    <row r="99">
      <c r="A99" t="inlineStr">
        <is>
          <t>2026-04</t>
        </is>
      </c>
      <c r="B99" t="inlineStr">
        <is>
          <t>2026-04-26</t>
        </is>
      </c>
      <c r="C99" t="inlineStr">
        <is>
          <t>PC-CC002-0028</t>
        </is>
      </c>
      <c r="D99" t="inlineStr">
        <is>
          <t>SA</t>
        </is>
      </c>
      <c r="E99" t="inlineStr">
        <is>
          <t>Ad-hoc Purchase</t>
        </is>
      </c>
      <c r="F99" t="inlineStr">
        <is>
          <t>Fresh Milk</t>
        </is>
      </c>
      <c r="G99" t="inlineStr">
        <is>
          <t>(no pkg)</t>
        </is>
      </c>
      <c r="H99" s="5" t="n">
        <v>3</v>
      </c>
      <c r="I99" s="5" t="n">
        <v>1</v>
      </c>
      <c r="J99">
        <f>H99*I99</f>
        <v/>
      </c>
      <c r="K99" t="n">
        <v>8.449999999999999</v>
      </c>
      <c r="L99" t="n">
        <v>25.35</v>
      </c>
    </row>
    <row r="100">
      <c r="A100" t="inlineStr">
        <is>
          <t>2026-04</t>
        </is>
      </c>
      <c r="B100" t="inlineStr">
        <is>
          <t>2026-04-26</t>
        </is>
      </c>
      <c r="C100" t="inlineStr">
        <is>
          <t>PC-CC002-0029</t>
        </is>
      </c>
      <c r="D100" t="inlineStr">
        <is>
          <t>SA</t>
        </is>
      </c>
      <c r="E100" t="inlineStr">
        <is>
          <t>Ad-hoc Purchase</t>
        </is>
      </c>
      <c r="F100" t="inlineStr">
        <is>
          <t>Fresh Milk</t>
        </is>
      </c>
      <c r="G100" t="inlineStr">
        <is>
          <t>(no pkg)</t>
        </is>
      </c>
      <c r="H100" s="5" t="n">
        <v>1</v>
      </c>
      <c r="I100" s="5" t="n">
        <v>1</v>
      </c>
      <c r="J100">
        <f>H100*I100</f>
        <v/>
      </c>
      <c r="K100" t="n">
        <v>42.45</v>
      </c>
      <c r="L100" t="n">
        <v>42.45</v>
      </c>
    </row>
    <row r="101">
      <c r="A101" t="inlineStr">
        <is>
          <t>2026-04</t>
        </is>
      </c>
      <c r="B101" t="inlineStr">
        <is>
          <t>2026-04-27</t>
        </is>
      </c>
      <c r="C101" t="inlineStr">
        <is>
          <t>CC-CC003-0019</t>
        </is>
      </c>
      <c r="D101" t="inlineStr">
        <is>
          <t>TAM</t>
        </is>
      </c>
      <c r="E101" t="inlineStr">
        <is>
          <t>The Milk Ministry</t>
        </is>
      </c>
      <c r="F101" t="inlineStr">
        <is>
          <t>Fresh Milk</t>
        </is>
      </c>
      <c r="G101" t="inlineStr">
        <is>
          <t>Carton (12× 1,000ml Bottle)</t>
        </is>
      </c>
      <c r="H101" s="5" t="n">
        <v>8</v>
      </c>
      <c r="I101" s="5" t="n">
        <v>12000</v>
      </c>
      <c r="J101">
        <f>H101*I101</f>
        <v/>
      </c>
      <c r="K101" t="n">
        <v>84.45999999999999</v>
      </c>
      <c r="L101" t="n">
        <v>675.6799999999999</v>
      </c>
    </row>
    <row r="102">
      <c r="A102" t="inlineStr">
        <is>
          <t>2026-04</t>
        </is>
      </c>
      <c r="B102" t="inlineStr">
        <is>
          <t>2026-04-27</t>
        </is>
      </c>
      <c r="C102" t="inlineStr">
        <is>
          <t>CC-CC002-0033</t>
        </is>
      </c>
      <c r="D102" t="inlineStr">
        <is>
          <t>SA</t>
        </is>
      </c>
      <c r="E102" t="inlineStr">
        <is>
          <t>Milk n Moka</t>
        </is>
      </c>
      <c r="F102" t="inlineStr">
        <is>
          <t>Fresh Milk</t>
        </is>
      </c>
      <c r="G102" t="inlineStr">
        <is>
          <t>Carton (12× 1,000ml Bottle)</t>
        </is>
      </c>
      <c r="H102" s="5" t="n">
        <v>96</v>
      </c>
      <c r="I102" s="5" t="n">
        <v>12000</v>
      </c>
      <c r="J102">
        <f>H102*I102</f>
        <v/>
      </c>
      <c r="K102" t="n">
        <v>7</v>
      </c>
      <c r="L102" t="n">
        <v>672</v>
      </c>
    </row>
    <row r="103">
      <c r="A103" t="inlineStr">
        <is>
          <t>2026-04</t>
        </is>
      </c>
      <c r="B103" t="inlineStr">
        <is>
          <t>2026-04-27</t>
        </is>
      </c>
      <c r="C103" t="inlineStr">
        <is>
          <t>CC-CC001-0039</t>
        </is>
      </c>
      <c r="D103" t="inlineStr">
        <is>
          <t>PJ</t>
        </is>
      </c>
      <c r="E103" t="inlineStr">
        <is>
          <t>The Milk Ministry</t>
        </is>
      </c>
      <c r="F103" t="inlineStr">
        <is>
          <t>Fresh Milk</t>
        </is>
      </c>
      <c r="G103" t="inlineStr">
        <is>
          <t>Carton (12× 1,000ml Bottle)</t>
        </is>
      </c>
      <c r="H103" s="5" t="n">
        <v>8</v>
      </c>
      <c r="I103" s="5" t="n">
        <v>12000</v>
      </c>
      <c r="J103">
        <f>H103*I103</f>
        <v/>
      </c>
      <c r="K103" t="n">
        <v>84.45999999999999</v>
      </c>
      <c r="L103" t="n">
        <v>675.6799999999999</v>
      </c>
    </row>
    <row r="104">
      <c r="A104" t="inlineStr">
        <is>
          <t>2026-04</t>
        </is>
      </c>
      <c r="B104" t="inlineStr">
        <is>
          <t>2026-04-27</t>
        </is>
      </c>
      <c r="C104" t="inlineStr">
        <is>
          <t>PC-CC003-0038</t>
        </is>
      </c>
      <c r="D104" t="inlineStr">
        <is>
          <t>TAM</t>
        </is>
      </c>
      <c r="E104" t="inlineStr">
        <is>
          <t>Ad-hoc Purchase</t>
        </is>
      </c>
      <c r="F104" t="inlineStr">
        <is>
          <t>Fresh Milk</t>
        </is>
      </c>
      <c r="G104" t="inlineStr">
        <is>
          <t>Carton (12× 2,000ml Bottle)</t>
        </is>
      </c>
      <c r="H104" s="5" t="n">
        <v>5</v>
      </c>
      <c r="I104" s="5" t="n">
        <v>24000</v>
      </c>
      <c r="J104">
        <f>H104*I104</f>
        <v/>
      </c>
      <c r="K104" t="n">
        <v>7.9</v>
      </c>
      <c r="L104" t="n">
        <v>39.5</v>
      </c>
    </row>
    <row r="105">
      <c r="A105" t="inlineStr">
        <is>
          <t>2026-05</t>
        </is>
      </c>
      <c r="B105" t="inlineStr">
        <is>
          <t>2026-05-03</t>
        </is>
      </c>
      <c r="C105" t="inlineStr">
        <is>
          <t>CC-CC001-0059</t>
        </is>
      </c>
      <c r="D105" t="inlineStr">
        <is>
          <t>PJ</t>
        </is>
      </c>
      <c r="E105" t="inlineStr">
        <is>
          <t>The Milk Ministry</t>
        </is>
      </c>
      <c r="F105" t="inlineStr">
        <is>
          <t>Fresh Milk</t>
        </is>
      </c>
      <c r="G105" t="inlineStr">
        <is>
          <t>Carton (12× 1,000ml Bottle)</t>
        </is>
      </c>
      <c r="H105" s="5" t="n">
        <v>8</v>
      </c>
      <c r="I105" s="5" t="n">
        <v>12000</v>
      </c>
      <c r="J105">
        <f>H105*I105</f>
        <v/>
      </c>
      <c r="K105" t="n">
        <v>84.45999999999999</v>
      </c>
      <c r="L105" t="n">
        <v>675.6799999999999</v>
      </c>
    </row>
    <row r="106">
      <c r="A106" t="inlineStr">
        <is>
          <t>2026-05</t>
        </is>
      </c>
      <c r="B106" t="inlineStr">
        <is>
          <t>2026-05-03</t>
        </is>
      </c>
      <c r="C106" t="inlineStr">
        <is>
          <t>CC-CC002-0044</t>
        </is>
      </c>
      <c r="D106" t="inlineStr">
        <is>
          <t>SA</t>
        </is>
      </c>
      <c r="E106" t="inlineStr">
        <is>
          <t>Milk n Moka</t>
        </is>
      </c>
      <c r="F106" t="inlineStr">
        <is>
          <t>Fresh Milk</t>
        </is>
      </c>
      <c r="G106" t="inlineStr">
        <is>
          <t>Carton (12× 1,000ml Bottle)</t>
        </is>
      </c>
      <c r="H106" s="5" t="n">
        <v>8</v>
      </c>
      <c r="I106" s="5" t="n">
        <v>12000</v>
      </c>
      <c r="J106">
        <f>H106*I106</f>
        <v/>
      </c>
      <c r="K106" t="n">
        <v>84</v>
      </c>
      <c r="L106" t="n">
        <v>672</v>
      </c>
    </row>
    <row r="107">
      <c r="A107" t="inlineStr">
        <is>
          <t>2026-05</t>
        </is>
      </c>
      <c r="B107" t="inlineStr">
        <is>
          <t>2026-05-03</t>
        </is>
      </c>
      <c r="C107" t="inlineStr">
        <is>
          <t>CC-CC002-0045</t>
        </is>
      </c>
      <c r="D107" t="inlineStr">
        <is>
          <t>SA</t>
        </is>
      </c>
      <c r="E107" t="inlineStr">
        <is>
          <t>Milk n Moka</t>
        </is>
      </c>
      <c r="F107" t="inlineStr">
        <is>
          <t>Fresh Milk</t>
        </is>
      </c>
      <c r="G107" t="inlineStr">
        <is>
          <t>Carton (12× 1,000ml Bottle)</t>
        </is>
      </c>
      <c r="H107" s="5" t="n">
        <v>6</v>
      </c>
      <c r="I107" s="5" t="n">
        <v>12000</v>
      </c>
      <c r="J107">
        <f>H107*I107</f>
        <v/>
      </c>
      <c r="K107" t="n">
        <v>84</v>
      </c>
      <c r="L107" t="n">
        <v>504</v>
      </c>
    </row>
    <row r="108">
      <c r="A108" t="inlineStr">
        <is>
          <t>2026-05</t>
        </is>
      </c>
      <c r="B108" t="inlineStr">
        <is>
          <t>2026-05-03</t>
        </is>
      </c>
      <c r="C108" t="inlineStr">
        <is>
          <t>CC-CC003-0026</t>
        </is>
      </c>
      <c r="D108" t="inlineStr">
        <is>
          <t>TAM</t>
        </is>
      </c>
      <c r="E108" t="inlineStr">
        <is>
          <t>The Milk Ministry</t>
        </is>
      </c>
      <c r="F108" t="inlineStr">
        <is>
          <t>Fresh Milk</t>
        </is>
      </c>
      <c r="G108" t="inlineStr">
        <is>
          <t>Carton (12× 2,000ml Bottle)</t>
        </is>
      </c>
      <c r="H108" s="5" t="n">
        <v>8</v>
      </c>
      <c r="I108" s="5" t="n">
        <v>24000</v>
      </c>
      <c r="J108">
        <f>H108*I108</f>
        <v/>
      </c>
      <c r="K108" t="n">
        <v>81.78</v>
      </c>
      <c r="L108" t="n">
        <v>654.24</v>
      </c>
    </row>
    <row r="109">
      <c r="A109" t="inlineStr">
        <is>
          <t>2026-05</t>
        </is>
      </c>
      <c r="B109" t="inlineStr">
        <is>
          <t>2026-05-03</t>
        </is>
      </c>
      <c r="C109" t="inlineStr">
        <is>
          <t>CC-CC001-0060</t>
        </is>
      </c>
      <c r="D109" t="inlineStr">
        <is>
          <t>PJ</t>
        </is>
      </c>
      <c r="E109" t="inlineStr">
        <is>
          <t>The Milk Ministry</t>
        </is>
      </c>
      <c r="F109" t="inlineStr">
        <is>
          <t>Fresh Milk</t>
        </is>
      </c>
      <c r="G109" t="inlineStr">
        <is>
          <t>Carton (12× 2,000ml Bottle)</t>
        </is>
      </c>
      <c r="H109" s="5" t="n">
        <v>8</v>
      </c>
      <c r="I109" s="5" t="n">
        <v>24000</v>
      </c>
      <c r="J109">
        <f>H109*I109</f>
        <v/>
      </c>
      <c r="K109" t="n">
        <v>81.78</v>
      </c>
      <c r="L109" t="n">
        <v>654.24</v>
      </c>
    </row>
    <row r="110">
      <c r="A110" t="inlineStr">
        <is>
          <t>2026-05</t>
        </is>
      </c>
      <c r="B110" t="inlineStr">
        <is>
          <t>2026-05-07</t>
        </is>
      </c>
      <c r="C110" t="inlineStr">
        <is>
          <t>CC-CC001-0081</t>
        </is>
      </c>
      <c r="D110" t="inlineStr">
        <is>
          <t>PJ</t>
        </is>
      </c>
      <c r="E110" t="inlineStr">
        <is>
          <t>The Milk Ministry</t>
        </is>
      </c>
      <c r="F110" t="inlineStr">
        <is>
          <t>Fresh Milk</t>
        </is>
      </c>
      <c r="G110" t="inlineStr">
        <is>
          <t>Carton (12× 1,000ml Bottle)</t>
        </is>
      </c>
      <c r="H110" s="5" t="n">
        <v>96</v>
      </c>
      <c r="I110" s="5" t="n">
        <v>12000</v>
      </c>
      <c r="J110">
        <f>H110*I110</f>
        <v/>
      </c>
      <c r="K110" t="n">
        <v>7.04</v>
      </c>
      <c r="L110" t="n">
        <v>675.84</v>
      </c>
    </row>
    <row r="111">
      <c r="A111" t="inlineStr">
        <is>
          <t>2026-05</t>
        </is>
      </c>
      <c r="B111" t="inlineStr">
        <is>
          <t>2026-05-07</t>
        </is>
      </c>
      <c r="C111" t="inlineStr">
        <is>
          <t>CC-CC002-0065</t>
        </is>
      </c>
      <c r="D111" t="inlineStr">
        <is>
          <t>SA</t>
        </is>
      </c>
      <c r="E111" t="inlineStr">
        <is>
          <t>Milk n Moka</t>
        </is>
      </c>
      <c r="F111" t="inlineStr">
        <is>
          <t>Fresh Milk</t>
        </is>
      </c>
      <c r="G111" t="inlineStr">
        <is>
          <t>Carton (12× 1,000ml Bottle)</t>
        </is>
      </c>
      <c r="H111" s="5" t="n">
        <v>8</v>
      </c>
      <c r="I111" s="5" t="n">
        <v>12000</v>
      </c>
      <c r="J111">
        <f>H111*I111</f>
        <v/>
      </c>
      <c r="K111" t="n">
        <v>84</v>
      </c>
      <c r="L111" t="n">
        <v>672</v>
      </c>
    </row>
    <row r="112">
      <c r="A112" t="inlineStr">
        <is>
          <t>2026-05</t>
        </is>
      </c>
      <c r="B112" t="inlineStr">
        <is>
          <t>2026-05-07</t>
        </is>
      </c>
      <c r="C112" t="inlineStr">
        <is>
          <t>CC-CC003-0040</t>
        </is>
      </c>
      <c r="D112" t="inlineStr">
        <is>
          <t>TAM</t>
        </is>
      </c>
      <c r="E112" t="inlineStr">
        <is>
          <t>The Milk Ministry</t>
        </is>
      </c>
      <c r="F112" t="inlineStr">
        <is>
          <t>Fresh Milk</t>
        </is>
      </c>
      <c r="G112" t="inlineStr">
        <is>
          <t>Carton (12× 2,000ml Bottle)</t>
        </is>
      </c>
      <c r="H112" s="5" t="n">
        <v>8</v>
      </c>
      <c r="I112" s="5" t="n">
        <v>24000</v>
      </c>
      <c r="J112">
        <f>H112*I112</f>
        <v/>
      </c>
      <c r="K112" t="n">
        <v>81.78</v>
      </c>
      <c r="L112" t="n">
        <v>654.24</v>
      </c>
    </row>
    <row r="113">
      <c r="A113" t="inlineStr">
        <is>
          <t>2026-05</t>
        </is>
      </c>
      <c r="B113" t="inlineStr">
        <is>
          <t>2026-05-07</t>
        </is>
      </c>
      <c r="C113" t="inlineStr">
        <is>
          <t>CC-CC001-0083</t>
        </is>
      </c>
      <c r="D113" t="inlineStr">
        <is>
          <t>PJ</t>
        </is>
      </c>
      <c r="E113" t="inlineStr">
        <is>
          <t>The Milk Ministry</t>
        </is>
      </c>
      <c r="F113" t="inlineStr">
        <is>
          <t>Fresh Milk</t>
        </is>
      </c>
      <c r="G113" t="inlineStr">
        <is>
          <t>Carton (12× 2,000ml Bottle)</t>
        </is>
      </c>
      <c r="H113" s="5" t="n">
        <v>8</v>
      </c>
      <c r="I113" s="5" t="n">
        <v>24000</v>
      </c>
      <c r="J113">
        <f>H113*I113</f>
        <v/>
      </c>
      <c r="K113" t="n">
        <v>81.78</v>
      </c>
      <c r="L113" t="n">
        <v>654.24</v>
      </c>
    </row>
    <row r="114">
      <c r="A114" t="inlineStr">
        <is>
          <t>2026-05</t>
        </is>
      </c>
      <c r="B114" t="inlineStr">
        <is>
          <t>2026-05-07</t>
        </is>
      </c>
      <c r="C114" t="inlineStr">
        <is>
          <t>PC-CC003-0041</t>
        </is>
      </c>
      <c r="D114" t="inlineStr">
        <is>
          <t>TAM</t>
        </is>
      </c>
      <c r="E114" t="inlineStr">
        <is>
          <t>Ad-hoc Purchase</t>
        </is>
      </c>
      <c r="F114" t="inlineStr">
        <is>
          <t>Fresh Milk</t>
        </is>
      </c>
      <c r="G114" t="inlineStr">
        <is>
          <t>Bottle (1,000ml)</t>
        </is>
      </c>
      <c r="H114" s="5" t="n">
        <v>3</v>
      </c>
      <c r="I114" s="5" t="n">
        <v>1000</v>
      </c>
      <c r="J114">
        <f>H114*I114</f>
        <v/>
      </c>
      <c r="K114" t="n">
        <v>7.9</v>
      </c>
      <c r="L114" t="n">
        <v>23.7</v>
      </c>
    </row>
    <row r="115">
      <c r="A115" t="inlineStr">
        <is>
          <t>2026-05</t>
        </is>
      </c>
      <c r="B115" t="inlineStr">
        <is>
          <t>2026-05-07</t>
        </is>
      </c>
      <c r="C115" t="inlineStr">
        <is>
          <t>PC-CC003-0043</t>
        </is>
      </c>
      <c r="D115" t="inlineStr">
        <is>
          <t>TAM</t>
        </is>
      </c>
      <c r="E115" t="inlineStr">
        <is>
          <t>Ad-hoc Purchase</t>
        </is>
      </c>
      <c r="F115" t="inlineStr">
        <is>
          <t>Fresh Milk</t>
        </is>
      </c>
      <c r="G115" t="inlineStr">
        <is>
          <t>Carton (12× 1,000ml Bottle)</t>
        </is>
      </c>
      <c r="H115" s="5" t="n">
        <v>6</v>
      </c>
      <c r="I115" s="5" t="n">
        <v>12000</v>
      </c>
      <c r="J115">
        <f>H115*I115</f>
        <v/>
      </c>
      <c r="K115" t="n">
        <v>8.4</v>
      </c>
      <c r="L115" t="n">
        <v>50.4</v>
      </c>
    </row>
    <row r="116">
      <c r="A116" t="inlineStr">
        <is>
          <t>2026-05</t>
        </is>
      </c>
      <c r="B116" t="inlineStr">
        <is>
          <t>2026-05-07</t>
        </is>
      </c>
      <c r="C116" t="inlineStr">
        <is>
          <t>PC-CC003-0044</t>
        </is>
      </c>
      <c r="D116" t="inlineStr">
        <is>
          <t>TAM</t>
        </is>
      </c>
      <c r="E116" t="inlineStr">
        <is>
          <t>Ad-hoc Purchase</t>
        </is>
      </c>
      <c r="F116" t="inlineStr">
        <is>
          <t>Fresh Milk</t>
        </is>
      </c>
      <c r="G116" t="inlineStr">
        <is>
          <t>Bottle (1,000ml)</t>
        </is>
      </c>
      <c r="H116" s="5" t="n">
        <v>3</v>
      </c>
      <c r="I116" s="5" t="n">
        <v>1000</v>
      </c>
      <c r="J116">
        <f>H116*I116</f>
        <v/>
      </c>
      <c r="K116" t="n">
        <v>7.9</v>
      </c>
      <c r="L116" t="n">
        <v>23.7</v>
      </c>
    </row>
    <row r="117">
      <c r="A117" t="inlineStr">
        <is>
          <t>2026-05</t>
        </is>
      </c>
      <c r="B117" t="inlineStr">
        <is>
          <t>2026-05-10</t>
        </is>
      </c>
      <c r="C117" t="inlineStr">
        <is>
          <t>CC-CC001-0100</t>
        </is>
      </c>
      <c r="D117" t="inlineStr">
        <is>
          <t>PJ</t>
        </is>
      </c>
      <c r="E117" t="inlineStr">
        <is>
          <t>The Milk Ministry</t>
        </is>
      </c>
      <c r="F117" t="inlineStr">
        <is>
          <t>Fresh Milk</t>
        </is>
      </c>
      <c r="G117" t="inlineStr">
        <is>
          <t>Carton (12× 2,000ml Bottle)</t>
        </is>
      </c>
      <c r="H117" s="5" t="n">
        <v>6</v>
      </c>
      <c r="I117" s="5" t="n">
        <v>24000</v>
      </c>
      <c r="J117">
        <f>H117*I117</f>
        <v/>
      </c>
      <c r="K117" t="n">
        <v>81.78</v>
      </c>
      <c r="L117" t="n">
        <v>490.68</v>
      </c>
    </row>
    <row r="118">
      <c r="A118" t="inlineStr">
        <is>
          <t>2026-05</t>
        </is>
      </c>
      <c r="B118" t="inlineStr">
        <is>
          <t>2026-05-10</t>
        </is>
      </c>
      <c r="C118" t="inlineStr">
        <is>
          <t>CC-CC002-0082</t>
        </is>
      </c>
      <c r="D118" t="inlineStr">
        <is>
          <t>SA</t>
        </is>
      </c>
      <c r="E118" t="inlineStr">
        <is>
          <t>Milk n Moka</t>
        </is>
      </c>
      <c r="F118" t="inlineStr">
        <is>
          <t>Fresh Milk</t>
        </is>
      </c>
      <c r="G118" t="inlineStr">
        <is>
          <t>Carton (12× 1,000ml Bottle)</t>
        </is>
      </c>
      <c r="H118" s="5" t="n">
        <v>6</v>
      </c>
      <c r="I118" s="5" t="n">
        <v>12000</v>
      </c>
      <c r="J118">
        <f>H118*I118</f>
        <v/>
      </c>
      <c r="K118" t="n">
        <v>85.45</v>
      </c>
      <c r="L118" t="n">
        <v>512.7</v>
      </c>
    </row>
    <row r="119">
      <c r="A119" t="inlineStr">
        <is>
          <t>2026-05</t>
        </is>
      </c>
      <c r="B119" t="inlineStr">
        <is>
          <t>2026-05-10</t>
        </is>
      </c>
      <c r="C119" t="inlineStr">
        <is>
          <t>CC-CC002-0083</t>
        </is>
      </c>
      <c r="D119" t="inlineStr">
        <is>
          <t>SA</t>
        </is>
      </c>
      <c r="E119" t="inlineStr">
        <is>
          <t>Milk n Moka</t>
        </is>
      </c>
      <c r="F119" t="inlineStr">
        <is>
          <t>Fresh Milk</t>
        </is>
      </c>
      <c r="G119" t="inlineStr">
        <is>
          <t>Carton (12× 1,000ml Bottle)</t>
        </is>
      </c>
      <c r="H119" s="5" t="n">
        <v>4</v>
      </c>
      <c r="I119" s="5" t="n">
        <v>12000</v>
      </c>
      <c r="J119">
        <f>H119*I119</f>
        <v/>
      </c>
      <c r="K119" t="n">
        <v>84</v>
      </c>
      <c r="L119" t="n">
        <v>336</v>
      </c>
    </row>
    <row r="120">
      <c r="A120" t="inlineStr">
        <is>
          <t>2026-05</t>
        </is>
      </c>
      <c r="B120" t="inlineStr">
        <is>
          <t>2026-05-11</t>
        </is>
      </c>
      <c r="C120" t="inlineStr">
        <is>
          <t>CC-CC003-0066</t>
        </is>
      </c>
      <c r="D120" t="inlineStr">
        <is>
          <t>TAM</t>
        </is>
      </c>
      <c r="E120" t="inlineStr">
        <is>
          <t>The Milk Ministry</t>
        </is>
      </c>
      <c r="F120" t="inlineStr">
        <is>
          <t>Fresh Milk</t>
        </is>
      </c>
      <c r="G120" t="inlineStr">
        <is>
          <t>Carton (12× 2,000ml Bottle)</t>
        </is>
      </c>
      <c r="H120" s="5" t="n">
        <v>8</v>
      </c>
      <c r="I120" s="5" t="n">
        <v>24000</v>
      </c>
      <c r="J120">
        <f>H120*I120</f>
        <v/>
      </c>
      <c r="K120" t="n">
        <v>81.78</v>
      </c>
      <c r="L120" t="n">
        <v>654.24</v>
      </c>
    </row>
    <row r="121">
      <c r="A121" t="inlineStr">
        <is>
          <t>2026-05</t>
        </is>
      </c>
      <c r="B121" t="inlineStr">
        <is>
          <t>2026-05-11</t>
        </is>
      </c>
      <c r="C121" t="inlineStr">
        <is>
          <t>CC-CC001-0111</t>
        </is>
      </c>
      <c r="D121" t="inlineStr">
        <is>
          <t>PJ</t>
        </is>
      </c>
      <c r="E121" t="inlineStr">
        <is>
          <t>The Milk Ministry</t>
        </is>
      </c>
      <c r="F121" t="inlineStr">
        <is>
          <t>Fresh Milk</t>
        </is>
      </c>
      <c r="G121" t="inlineStr">
        <is>
          <t>Carton (12× 2,000ml Bottle)</t>
        </is>
      </c>
      <c r="H121" s="5" t="n">
        <v>8</v>
      </c>
      <c r="I121" s="5" t="n">
        <v>24000</v>
      </c>
      <c r="J121">
        <f>H121*I121</f>
        <v/>
      </c>
      <c r="K121" t="n">
        <v>81.78</v>
      </c>
      <c r="L121" t="n">
        <v>654.24</v>
      </c>
    </row>
    <row r="122">
      <c r="A122" t="inlineStr">
        <is>
          <t>2026-05</t>
        </is>
      </c>
      <c r="B122" t="inlineStr">
        <is>
          <t>2026-05-13</t>
        </is>
      </c>
      <c r="C122" t="inlineStr">
        <is>
          <t>CC-CC001-0119</t>
        </is>
      </c>
      <c r="D122" t="inlineStr">
        <is>
          <t>PJ</t>
        </is>
      </c>
      <c r="E122" t="inlineStr">
        <is>
          <t>The Milk Ministry</t>
        </is>
      </c>
      <c r="F122" t="inlineStr">
        <is>
          <t>Fresh Milk</t>
        </is>
      </c>
      <c r="G122" t="inlineStr">
        <is>
          <t>Carton (12× 2,000ml Bottle)</t>
        </is>
      </c>
      <c r="H122" s="5" t="n">
        <v>8</v>
      </c>
      <c r="I122" s="5" t="n">
        <v>24000</v>
      </c>
      <c r="J122">
        <f>H122*I122</f>
        <v/>
      </c>
      <c r="K122" t="n">
        <v>84.95999999999999</v>
      </c>
      <c r="L122" t="n">
        <v>679.6799999999999</v>
      </c>
    </row>
    <row r="123">
      <c r="A123" t="inlineStr">
        <is>
          <t>2026-05</t>
        </is>
      </c>
      <c r="B123" t="inlineStr">
        <is>
          <t>2026-05-13</t>
        </is>
      </c>
      <c r="C123" t="inlineStr">
        <is>
          <t>CC-CC003-0069</t>
        </is>
      </c>
      <c r="D123" t="inlineStr">
        <is>
          <t>TAM</t>
        </is>
      </c>
      <c r="E123" t="inlineStr">
        <is>
          <t>The Milk Ministry</t>
        </is>
      </c>
      <c r="F123" t="inlineStr">
        <is>
          <t>Fresh Milk</t>
        </is>
      </c>
      <c r="G123" t="inlineStr">
        <is>
          <t>Carton (12× 2,000ml Bottle)</t>
        </is>
      </c>
      <c r="H123" s="5" t="n">
        <v>6</v>
      </c>
      <c r="I123" s="5" t="n">
        <v>24000</v>
      </c>
      <c r="J123">
        <f>H123*I123</f>
        <v/>
      </c>
      <c r="K123" t="n">
        <v>81.78</v>
      </c>
      <c r="L123" t="n">
        <v>490.68</v>
      </c>
    </row>
    <row r="124">
      <c r="A124" t="inlineStr">
        <is>
          <t>2026-05</t>
        </is>
      </c>
      <c r="B124" t="inlineStr">
        <is>
          <t>2026-05-13</t>
        </is>
      </c>
      <c r="C124" t="inlineStr">
        <is>
          <t>CC-CC002-0099</t>
        </is>
      </c>
      <c r="D124" t="inlineStr">
        <is>
          <t>SA</t>
        </is>
      </c>
      <c r="E124" t="inlineStr">
        <is>
          <t>Milk n Moka</t>
        </is>
      </c>
      <c r="F124" t="inlineStr">
        <is>
          <t>Fresh Milk</t>
        </is>
      </c>
      <c r="G124" t="inlineStr">
        <is>
          <t>Carton (12× 1,000ml Bottle)</t>
        </is>
      </c>
      <c r="H124" s="5" t="n">
        <v>6</v>
      </c>
      <c r="I124" s="5" t="n">
        <v>12000</v>
      </c>
      <c r="J124">
        <f>H124*I124</f>
        <v/>
      </c>
      <c r="K124" t="n">
        <v>85.45</v>
      </c>
      <c r="L124" t="n">
        <v>512.7</v>
      </c>
    </row>
    <row r="125">
      <c r="A125" t="inlineStr">
        <is>
          <t>2026-05</t>
        </is>
      </c>
      <c r="B125" t="inlineStr">
        <is>
          <t>2026-05-13</t>
        </is>
      </c>
      <c r="C125" t="inlineStr">
        <is>
          <t>CC-CC002-0100</t>
        </is>
      </c>
      <c r="D125" t="inlineStr">
        <is>
          <t>SA</t>
        </is>
      </c>
      <c r="E125" t="inlineStr">
        <is>
          <t>Milk n Moka</t>
        </is>
      </c>
      <c r="F125" t="inlineStr">
        <is>
          <t>Fresh Milk</t>
        </is>
      </c>
      <c r="G125" t="inlineStr">
        <is>
          <t>Carton (12× 1,000ml Bottle)</t>
        </is>
      </c>
      <c r="H125" s="5" t="n">
        <v>4</v>
      </c>
      <c r="I125" s="5" t="n">
        <v>12000</v>
      </c>
      <c r="J125">
        <f>H125*I125</f>
        <v/>
      </c>
      <c r="K125" t="n">
        <v>84</v>
      </c>
      <c r="L125" t="n">
        <v>336</v>
      </c>
    </row>
    <row r="126">
      <c r="A126" t="inlineStr">
        <is>
          <t>2026-05</t>
        </is>
      </c>
      <c r="B126" t="inlineStr">
        <is>
          <t>2026-05-14</t>
        </is>
      </c>
      <c r="C126" t="inlineStr">
        <is>
          <t>PC-CC001-0114</t>
        </is>
      </c>
      <c r="D126" t="inlineStr">
        <is>
          <t>PJ</t>
        </is>
      </c>
      <c r="E126" t="inlineStr">
        <is>
          <t>Ad-hoc Purchase</t>
        </is>
      </c>
      <c r="F126" t="inlineStr">
        <is>
          <t>Fresh Milk</t>
        </is>
      </c>
      <c r="G126" t="inlineStr">
        <is>
          <t>Bottle (1,000ml)</t>
        </is>
      </c>
      <c r="H126" s="5" t="n">
        <v>12</v>
      </c>
      <c r="I126" s="5" t="n">
        <v>1000</v>
      </c>
      <c r="J126">
        <f>H126*I126</f>
        <v/>
      </c>
      <c r="K126" t="n">
        <v>16.56</v>
      </c>
      <c r="L126" t="n">
        <v>198.7</v>
      </c>
    </row>
    <row r="127">
      <c r="A127" t="inlineStr">
        <is>
          <t>2026-05</t>
        </is>
      </c>
      <c r="B127" t="inlineStr">
        <is>
          <t>2026-05-14</t>
        </is>
      </c>
      <c r="C127" t="inlineStr">
        <is>
          <t>PC-CC003-0060</t>
        </is>
      </c>
      <c r="D127" t="inlineStr">
        <is>
          <t>TAM</t>
        </is>
      </c>
      <c r="E127" t="inlineStr">
        <is>
          <t>Ad-hoc Purchase</t>
        </is>
      </c>
      <c r="F127" t="inlineStr">
        <is>
          <t>Fresh Milk</t>
        </is>
      </c>
      <c r="G127" t="inlineStr">
        <is>
          <t>Carton (12× 2,000ml Bottle)</t>
        </is>
      </c>
      <c r="H127" s="5" t="n">
        <v>1</v>
      </c>
      <c r="I127" s="5" t="n">
        <v>24000</v>
      </c>
      <c r="J127">
        <f>H127*I127</f>
        <v/>
      </c>
      <c r="K127" t="n">
        <v>194.06</v>
      </c>
      <c r="L127" t="n">
        <v>194.06</v>
      </c>
    </row>
    <row r="128">
      <c r="A128" t="inlineStr">
        <is>
          <t>2026-05</t>
        </is>
      </c>
      <c r="B128" t="inlineStr">
        <is>
          <t>2026-05-14</t>
        </is>
      </c>
      <c r="C128" t="inlineStr">
        <is>
          <t>PC-CC001-0116</t>
        </is>
      </c>
      <c r="D128" t="inlineStr">
        <is>
          <t>PJ</t>
        </is>
      </c>
      <c r="E128" t="inlineStr">
        <is>
          <t>Ad-hoc Purchase</t>
        </is>
      </c>
      <c r="F128" t="inlineStr">
        <is>
          <t>Fresh Milk</t>
        </is>
      </c>
      <c r="G128" t="inlineStr">
        <is>
          <t>2,000ml Bottle</t>
        </is>
      </c>
      <c r="H128" s="5" t="n">
        <v>5</v>
      </c>
      <c r="I128" s="5" t="n">
        <v>2000</v>
      </c>
      <c r="J128">
        <f>H128*I128</f>
        <v/>
      </c>
      <c r="K128" t="n">
        <v>16.2</v>
      </c>
      <c r="L128" t="n">
        <v>81</v>
      </c>
    </row>
    <row r="129">
      <c r="A129" t="inlineStr">
        <is>
          <t>2026-05</t>
        </is>
      </c>
      <c r="B129" t="inlineStr">
        <is>
          <t>2026-05-19</t>
        </is>
      </c>
      <c r="C129" t="inlineStr">
        <is>
          <t>CC-CC001-0136</t>
        </is>
      </c>
      <c r="D129" t="inlineStr">
        <is>
          <t>PJ</t>
        </is>
      </c>
      <c r="E129" t="inlineStr">
        <is>
          <t>The Milk Ministry</t>
        </is>
      </c>
      <c r="F129" t="inlineStr">
        <is>
          <t>Fresh Milk</t>
        </is>
      </c>
      <c r="G129" t="inlineStr">
        <is>
          <t>Carton (12× 2,000ml Bottle)</t>
        </is>
      </c>
      <c r="H129" s="5" t="n">
        <v>7</v>
      </c>
      <c r="I129" s="5" t="n">
        <v>24000</v>
      </c>
      <c r="J129">
        <f>H129*I129</f>
        <v/>
      </c>
      <c r="K129" t="n">
        <v>84.95999999999999</v>
      </c>
      <c r="L129" t="n">
        <v>594.72</v>
      </c>
    </row>
    <row r="130">
      <c r="A130" t="inlineStr">
        <is>
          <t>2026-05</t>
        </is>
      </c>
      <c r="B130" t="inlineStr">
        <is>
          <t>2026-05-19</t>
        </is>
      </c>
      <c r="C130" t="inlineStr">
        <is>
          <t>CC-CC003-0088</t>
        </is>
      </c>
      <c r="D130" t="inlineStr">
        <is>
          <t>TAM</t>
        </is>
      </c>
      <c r="E130" t="inlineStr">
        <is>
          <t>The Milk Ministry</t>
        </is>
      </c>
      <c r="F130" t="inlineStr">
        <is>
          <t>Fresh Milk</t>
        </is>
      </c>
      <c r="G130" t="inlineStr">
        <is>
          <t>Carton (12× 2,000ml Bottle)</t>
        </is>
      </c>
      <c r="H130" s="5" t="n">
        <v>7</v>
      </c>
      <c r="I130" s="5" t="n">
        <v>24000</v>
      </c>
      <c r="J130">
        <f>H130*I130</f>
        <v/>
      </c>
      <c r="K130" t="n">
        <v>84.95999999999999</v>
      </c>
      <c r="L130" t="n">
        <v>594.72</v>
      </c>
    </row>
    <row r="131">
      <c r="A131" t="inlineStr">
        <is>
          <t>2026-05</t>
        </is>
      </c>
      <c r="B131" t="inlineStr">
        <is>
          <t>2026-05-19</t>
        </is>
      </c>
      <c r="C131" t="inlineStr">
        <is>
          <t>CC-CC002-0125</t>
        </is>
      </c>
      <c r="D131" t="inlineStr">
        <is>
          <t>SA</t>
        </is>
      </c>
      <c r="E131" t="inlineStr">
        <is>
          <t>Milk n Moka</t>
        </is>
      </c>
      <c r="F131" t="inlineStr">
        <is>
          <t>Fresh Milk</t>
        </is>
      </c>
      <c r="G131" t="inlineStr">
        <is>
          <t>Carton (12× 1,000ml Bottle)</t>
        </is>
      </c>
      <c r="H131" s="5" t="n">
        <v>5</v>
      </c>
      <c r="I131" s="5" t="n">
        <v>12000</v>
      </c>
      <c r="J131">
        <f>H131*I131</f>
        <v/>
      </c>
      <c r="K131" t="n">
        <v>85.45</v>
      </c>
      <c r="L131" t="n">
        <v>427.25</v>
      </c>
    </row>
    <row r="132">
      <c r="A132" t="inlineStr">
        <is>
          <t>2026-05</t>
        </is>
      </c>
      <c r="B132" t="inlineStr">
        <is>
          <t>2026-05-24</t>
        </is>
      </c>
      <c r="C132" t="inlineStr">
        <is>
          <t>CC-CC001-0144</t>
        </is>
      </c>
      <c r="D132" t="inlineStr">
        <is>
          <t>PJ</t>
        </is>
      </c>
      <c r="E132" t="inlineStr">
        <is>
          <t>The Milk Ministry</t>
        </is>
      </c>
      <c r="F132" t="inlineStr">
        <is>
          <t>Fresh Milk</t>
        </is>
      </c>
      <c r="G132" t="inlineStr">
        <is>
          <t>Carton (12× 2,000ml Bottle)</t>
        </is>
      </c>
      <c r="H132" s="5" t="n">
        <v>8</v>
      </c>
      <c r="I132" s="5" t="n">
        <v>24000</v>
      </c>
      <c r="J132">
        <f>H132*I132</f>
        <v/>
      </c>
      <c r="K132" t="n">
        <v>84.95999999999999</v>
      </c>
      <c r="L132" t="n">
        <v>679.6799999999999</v>
      </c>
    </row>
    <row r="133">
      <c r="A133" t="inlineStr">
        <is>
          <t>2026-05</t>
        </is>
      </c>
      <c r="B133" t="inlineStr">
        <is>
          <t>2026-05-24</t>
        </is>
      </c>
      <c r="C133" t="inlineStr">
        <is>
          <t>CC-CC003-0095</t>
        </is>
      </c>
      <c r="D133" t="inlineStr">
        <is>
          <t>TAM</t>
        </is>
      </c>
      <c r="E133" t="inlineStr">
        <is>
          <t>The Milk Ministry</t>
        </is>
      </c>
      <c r="F133" t="inlineStr">
        <is>
          <t>Fresh Milk</t>
        </is>
      </c>
      <c r="G133" t="inlineStr">
        <is>
          <t>Carton (12× 2,000ml Bottle)</t>
        </is>
      </c>
      <c r="H133" s="5" t="n">
        <v>8</v>
      </c>
      <c r="I133" s="5" t="n">
        <v>24000</v>
      </c>
      <c r="J133">
        <f>H133*I133</f>
        <v/>
      </c>
      <c r="K133" t="n">
        <v>84.95999999999999</v>
      </c>
      <c r="L133" t="n">
        <v>679.6799999999999</v>
      </c>
    </row>
    <row r="134">
      <c r="A134" t="inlineStr">
        <is>
          <t>2026-05</t>
        </is>
      </c>
      <c r="B134" t="inlineStr">
        <is>
          <t>2026-05-24</t>
        </is>
      </c>
      <c r="C134" t="inlineStr">
        <is>
          <t>CC-CC001-0145</t>
        </is>
      </c>
      <c r="D134" t="inlineStr">
        <is>
          <t>PJ</t>
        </is>
      </c>
      <c r="E134" t="inlineStr">
        <is>
          <t>The Milk Ministry</t>
        </is>
      </c>
      <c r="F134" t="inlineStr">
        <is>
          <t>Fresh Milk</t>
        </is>
      </c>
      <c r="G134" t="inlineStr">
        <is>
          <t>Carton (12× 2,000ml Bottle)</t>
        </is>
      </c>
      <c r="H134" s="5" t="n">
        <v>7</v>
      </c>
      <c r="I134" s="5" t="n">
        <v>24000</v>
      </c>
      <c r="J134">
        <f>H134*I134</f>
        <v/>
      </c>
      <c r="K134" t="n">
        <v>84.95999999999999</v>
      </c>
      <c r="L134" t="n">
        <v>594.72</v>
      </c>
    </row>
    <row r="135">
      <c r="A135" t="inlineStr">
        <is>
          <t>2026-05</t>
        </is>
      </c>
      <c r="B135" t="inlineStr">
        <is>
          <t>2026-05-24</t>
        </is>
      </c>
      <c r="C135" t="inlineStr">
        <is>
          <t>CC-CC003-0096</t>
        </is>
      </c>
      <c r="D135" t="inlineStr">
        <is>
          <t>TAM</t>
        </is>
      </c>
      <c r="E135" t="inlineStr">
        <is>
          <t>The Milk Ministry</t>
        </is>
      </c>
      <c r="F135" t="inlineStr">
        <is>
          <t>Fresh Milk</t>
        </is>
      </c>
      <c r="G135" t="inlineStr">
        <is>
          <t>Carton (12× 2,000ml Bottle)</t>
        </is>
      </c>
      <c r="H135" s="5" t="n">
        <v>5</v>
      </c>
      <c r="I135" s="5" t="n">
        <v>24000</v>
      </c>
      <c r="J135">
        <f>H135*I135</f>
        <v/>
      </c>
      <c r="K135" t="n">
        <v>84.95999999999999</v>
      </c>
      <c r="L135" t="n">
        <v>424.8</v>
      </c>
    </row>
    <row r="136">
      <c r="A136" t="inlineStr">
        <is>
          <t>2026-05</t>
        </is>
      </c>
      <c r="B136" t="inlineStr">
        <is>
          <t>2026-05-24</t>
        </is>
      </c>
      <c r="C136" t="inlineStr">
        <is>
          <t>PC-CC001-0152</t>
        </is>
      </c>
      <c r="D136" t="inlineStr">
        <is>
          <t>PJ</t>
        </is>
      </c>
      <c r="E136" t="inlineStr">
        <is>
          <t>Ad-hoc Purchase</t>
        </is>
      </c>
      <c r="F136" t="inlineStr">
        <is>
          <t>Fresh Milk</t>
        </is>
      </c>
      <c r="G136" t="inlineStr">
        <is>
          <t>Carton (12× 2,000ml Bottle)</t>
        </is>
      </c>
      <c r="H136" s="5" t="n">
        <v>1</v>
      </c>
      <c r="I136" s="5" t="n">
        <v>24000</v>
      </c>
      <c r="J136">
        <f>H136*I136</f>
        <v/>
      </c>
      <c r="K136" t="n">
        <v>198.7</v>
      </c>
      <c r="L136" t="n">
        <v>198.7</v>
      </c>
    </row>
    <row r="137">
      <c r="A137" t="inlineStr">
        <is>
          <t>2026-05</t>
        </is>
      </c>
      <c r="B137" t="inlineStr">
        <is>
          <t>2026-05-24</t>
        </is>
      </c>
      <c r="C137" t="inlineStr">
        <is>
          <t>PC-CC003-0073</t>
        </is>
      </c>
      <c r="D137" t="inlineStr">
        <is>
          <t>TAM</t>
        </is>
      </c>
      <c r="E137" t="inlineStr">
        <is>
          <t>Ad-hoc Purchase</t>
        </is>
      </c>
      <c r="F137" t="inlineStr">
        <is>
          <t>Fresh Milk</t>
        </is>
      </c>
      <c r="G137" t="inlineStr">
        <is>
          <t>Carton (12× 2,000ml Bottle)</t>
        </is>
      </c>
      <c r="H137" s="5" t="n">
        <v>1</v>
      </c>
      <c r="I137" s="5" t="n">
        <v>24000</v>
      </c>
      <c r="J137">
        <f>H137*I137</f>
        <v/>
      </c>
      <c r="K137" t="n">
        <v>194.06</v>
      </c>
      <c r="L137" t="n">
        <v>194.06</v>
      </c>
    </row>
    <row r="138">
      <c r="A138" t="inlineStr">
        <is>
          <t>2026-05</t>
        </is>
      </c>
      <c r="B138" t="inlineStr">
        <is>
          <t>2026-05-24</t>
        </is>
      </c>
      <c r="C138" t="inlineStr">
        <is>
          <t>PC-CC001-0153</t>
        </is>
      </c>
      <c r="D138" t="inlineStr">
        <is>
          <t>PJ</t>
        </is>
      </c>
      <c r="E138" t="inlineStr">
        <is>
          <t>Ad-hoc Purchase</t>
        </is>
      </c>
      <c r="F138" t="inlineStr">
        <is>
          <t>Fresh Milk</t>
        </is>
      </c>
      <c r="G138" t="inlineStr">
        <is>
          <t>2,000ml Bottle</t>
        </is>
      </c>
      <c r="H138" s="5" t="n">
        <v>10</v>
      </c>
      <c r="I138" s="5" t="n">
        <v>2000</v>
      </c>
      <c r="J138">
        <f>H138*I138</f>
        <v/>
      </c>
      <c r="K138" t="n">
        <v>17.66</v>
      </c>
      <c r="L138" t="n">
        <v>176.6</v>
      </c>
    </row>
    <row r="139">
      <c r="A139" t="inlineStr">
        <is>
          <t>2026-05</t>
        </is>
      </c>
      <c r="B139" t="inlineStr">
        <is>
          <t>2026-05-24</t>
        </is>
      </c>
      <c r="C139" t="inlineStr">
        <is>
          <t>PC-CC002-0078</t>
        </is>
      </c>
      <c r="D139" t="inlineStr">
        <is>
          <t>SA</t>
        </is>
      </c>
      <c r="E139" t="inlineStr">
        <is>
          <t>Ad-hoc Purchase</t>
        </is>
      </c>
      <c r="F139" t="inlineStr">
        <is>
          <t>Fresh Milk</t>
        </is>
      </c>
      <c r="G139" t="inlineStr">
        <is>
          <t>Bottle (1,000ml)</t>
        </is>
      </c>
      <c r="H139" s="5" t="n">
        <v>10</v>
      </c>
      <c r="I139" s="5" t="n">
        <v>1000</v>
      </c>
      <c r="J139">
        <f>H139*I139</f>
        <v/>
      </c>
      <c r="K139" t="n">
        <v>12.56</v>
      </c>
      <c r="L139" t="n">
        <v>125.6</v>
      </c>
    </row>
    <row r="140">
      <c r="A140" t="inlineStr">
        <is>
          <t>2026-05</t>
        </is>
      </c>
      <c r="B140" t="inlineStr">
        <is>
          <t>2026-05-24</t>
        </is>
      </c>
      <c r="C140" t="inlineStr">
        <is>
          <t>PC-CC001-0166</t>
        </is>
      </c>
      <c r="D140" t="inlineStr">
        <is>
          <t>PJ</t>
        </is>
      </c>
      <c r="E140" t="inlineStr">
        <is>
          <t>Ad-hoc Purchase</t>
        </is>
      </c>
      <c r="F140" t="inlineStr">
        <is>
          <t>Fresh Milk</t>
        </is>
      </c>
      <c r="G140" t="inlineStr">
        <is>
          <t>Carton (12× 2,000ml Bottle)</t>
        </is>
      </c>
      <c r="H140" s="5" t="n">
        <v>6</v>
      </c>
      <c r="I140" s="5" t="n">
        <v>24000</v>
      </c>
      <c r="J140">
        <f>H140*I140</f>
        <v/>
      </c>
      <c r="K140" t="n">
        <v>16.2</v>
      </c>
      <c r="L140" t="n">
        <v>97.2</v>
      </c>
    </row>
    <row r="141">
      <c r="A141" t="inlineStr">
        <is>
          <t>2026-05</t>
        </is>
      </c>
      <c r="B141" t="inlineStr">
        <is>
          <t>2026-05-24</t>
        </is>
      </c>
      <c r="C141" t="inlineStr">
        <is>
          <t>PC-CC001-0167</t>
        </is>
      </c>
      <c r="D141" t="inlineStr">
        <is>
          <t>PJ</t>
        </is>
      </c>
      <c r="E141" t="inlineStr">
        <is>
          <t>Ad-hoc Purchase</t>
        </is>
      </c>
      <c r="F141" t="inlineStr">
        <is>
          <t>Fresh Milk</t>
        </is>
      </c>
      <c r="G141" t="inlineStr">
        <is>
          <t>Bottle (1,000ml)</t>
        </is>
      </c>
      <c r="H141" s="5" t="n">
        <v>6</v>
      </c>
      <c r="I141" s="5" t="n">
        <v>1000</v>
      </c>
      <c r="J141">
        <f>H141*I141</f>
        <v/>
      </c>
      <c r="K141" t="n">
        <v>16.2</v>
      </c>
      <c r="L141" t="n">
        <v>97.2</v>
      </c>
    </row>
    <row r="142">
      <c r="A142" t="inlineStr">
        <is>
          <t>2026-05</t>
        </is>
      </c>
      <c r="B142" t="inlineStr">
        <is>
          <t>2026-05-25</t>
        </is>
      </c>
      <c r="C142" t="inlineStr">
        <is>
          <t>CC-CC002-0143</t>
        </is>
      </c>
      <c r="D142" t="inlineStr">
        <is>
          <t>SA</t>
        </is>
      </c>
      <c r="E142" t="inlineStr">
        <is>
          <t>Milk n Moka</t>
        </is>
      </c>
      <c r="F142" t="inlineStr">
        <is>
          <t>Fresh Milk</t>
        </is>
      </c>
      <c r="G142" t="inlineStr">
        <is>
          <t>Carton (12× 1,000ml Bottle)</t>
        </is>
      </c>
      <c r="H142" s="5" t="n">
        <v>5</v>
      </c>
      <c r="I142" s="5" t="n">
        <v>12000</v>
      </c>
      <c r="J142">
        <f>H142*I142</f>
        <v/>
      </c>
      <c r="K142" t="n">
        <v>85.45</v>
      </c>
      <c r="L142" t="n">
        <v>427.25</v>
      </c>
    </row>
    <row r="143">
      <c r="A143" t="inlineStr">
        <is>
          <t>2026-05</t>
        </is>
      </c>
      <c r="B143" t="inlineStr">
        <is>
          <t>2026-05-25</t>
        </is>
      </c>
      <c r="C143" t="inlineStr">
        <is>
          <t>PC-CC001-0179</t>
        </is>
      </c>
      <c r="D143" t="inlineStr">
        <is>
          <t>PJ</t>
        </is>
      </c>
      <c r="E143" t="inlineStr">
        <is>
          <t>Ad-hoc Purchase</t>
        </is>
      </c>
      <c r="F143" t="inlineStr">
        <is>
          <t>Fresh Milk</t>
        </is>
      </c>
      <c r="G143" t="inlineStr">
        <is>
          <t>2,000ml Bottle</t>
        </is>
      </c>
      <c r="H143" s="5" t="n">
        <v>9</v>
      </c>
      <c r="I143" s="5" t="n">
        <v>2000</v>
      </c>
      <c r="J143">
        <f>H143*I143</f>
        <v/>
      </c>
      <c r="K143" t="n">
        <v>16.2</v>
      </c>
      <c r="L143" t="n">
        <v>145.8</v>
      </c>
    </row>
    <row r="144">
      <c r="A144" t="inlineStr">
        <is>
          <t>2026-05</t>
        </is>
      </c>
      <c r="B144" t="inlineStr">
        <is>
          <t>2026-05-27</t>
        </is>
      </c>
      <c r="C144" t="inlineStr">
        <is>
          <t>CC-CC002-0144</t>
        </is>
      </c>
      <c r="D144" t="inlineStr">
        <is>
          <t>SA</t>
        </is>
      </c>
      <c r="E144" t="inlineStr">
        <is>
          <t>Milk n Moka</t>
        </is>
      </c>
      <c r="F144" t="inlineStr">
        <is>
          <t>Fresh Milk</t>
        </is>
      </c>
      <c r="G144" t="inlineStr">
        <is>
          <t>Carton (12× 1,000ml Bottle)</t>
        </is>
      </c>
      <c r="H144" s="5" t="n">
        <v>6</v>
      </c>
      <c r="I144" s="5" t="n">
        <v>12000</v>
      </c>
      <c r="J144">
        <f>H144*I144</f>
        <v/>
      </c>
      <c r="K144" t="n">
        <v>84</v>
      </c>
      <c r="L144" t="n">
        <v>504</v>
      </c>
    </row>
    <row r="145">
      <c r="A145" t="inlineStr">
        <is>
          <t>2026-05</t>
        </is>
      </c>
      <c r="B145" t="inlineStr">
        <is>
          <t>2026-05-31</t>
        </is>
      </c>
      <c r="C145" t="inlineStr">
        <is>
          <t>CC-CC002-0154</t>
        </is>
      </c>
      <c r="D145" t="inlineStr">
        <is>
          <t>SA</t>
        </is>
      </c>
      <c r="E145" t="inlineStr">
        <is>
          <t>Milk n Moka</t>
        </is>
      </c>
      <c r="F145" t="inlineStr">
        <is>
          <t>Fresh Milk</t>
        </is>
      </c>
      <c r="G145" t="inlineStr">
        <is>
          <t>Carton (12× 1,000ml Bottle)</t>
        </is>
      </c>
      <c r="H145" s="5" t="n">
        <v>8</v>
      </c>
      <c r="I145" s="5" t="n">
        <v>12000</v>
      </c>
      <c r="J145">
        <f>H145*I145</f>
        <v/>
      </c>
      <c r="K145" t="n">
        <v>86.40000000000001</v>
      </c>
      <c r="L145" t="n">
        <v>691.2</v>
      </c>
    </row>
    <row r="146">
      <c r="A146" t="inlineStr">
        <is>
          <t>2026-05</t>
        </is>
      </c>
      <c r="B146" t="inlineStr">
        <is>
          <t>2026-05-31</t>
        </is>
      </c>
      <c r="C146" t="inlineStr">
        <is>
          <t>CC-CC001-0164</t>
        </is>
      </c>
      <c r="D146" t="inlineStr">
        <is>
          <t>PJ</t>
        </is>
      </c>
      <c r="E146" t="inlineStr">
        <is>
          <t>The Milk Ministry</t>
        </is>
      </c>
      <c r="F146" t="inlineStr">
        <is>
          <t>Fresh Milk</t>
        </is>
      </c>
      <c r="G146" t="inlineStr">
        <is>
          <t>Carton (12× 2,000ml Bottle)</t>
        </is>
      </c>
      <c r="H146" s="5" t="n">
        <v>8</v>
      </c>
      <c r="I146" s="5" t="n">
        <v>24000</v>
      </c>
      <c r="J146">
        <f>H146*I146</f>
        <v/>
      </c>
      <c r="K146" t="n">
        <v>81.78</v>
      </c>
      <c r="L146" t="n">
        <v>654.24</v>
      </c>
    </row>
    <row r="147">
      <c r="A147" t="inlineStr">
        <is>
          <t>2026-05</t>
        </is>
      </c>
      <c r="B147" t="inlineStr">
        <is>
          <t>2026-05-31</t>
        </is>
      </c>
      <c r="C147" t="inlineStr">
        <is>
          <t>CC-CC003-0112</t>
        </is>
      </c>
      <c r="D147" t="inlineStr">
        <is>
          <t>TAM</t>
        </is>
      </c>
      <c r="E147" t="inlineStr">
        <is>
          <t>The Milk Ministry</t>
        </is>
      </c>
      <c r="F147" t="inlineStr">
        <is>
          <t>Fresh Milk</t>
        </is>
      </c>
      <c r="G147" t="inlineStr">
        <is>
          <t>Carton (12× 2,000ml Bottle)</t>
        </is>
      </c>
      <c r="H147" s="5" t="n">
        <v>4</v>
      </c>
      <c r="I147" s="5" t="n">
        <v>24000</v>
      </c>
      <c r="J147">
        <f>H147*I147</f>
        <v/>
      </c>
      <c r="K147" t="n">
        <v>84.95999999999999</v>
      </c>
      <c r="L147" t="n">
        <v>339.84</v>
      </c>
    </row>
    <row r="148">
      <c r="A148" t="inlineStr">
        <is>
          <t>2026-06</t>
        </is>
      </c>
      <c r="B148" t="inlineStr">
        <is>
          <t>2026-06-04</t>
        </is>
      </c>
      <c r="C148" t="inlineStr">
        <is>
          <t>CC-CC002-0166</t>
        </is>
      </c>
      <c r="D148" t="inlineStr">
        <is>
          <t>SA</t>
        </is>
      </c>
      <c r="E148" t="inlineStr">
        <is>
          <t>Milk n Moka</t>
        </is>
      </c>
      <c r="F148" t="inlineStr">
        <is>
          <t>Fresh Milk</t>
        </is>
      </c>
      <c r="G148" t="inlineStr">
        <is>
          <t>Carton (12× 1,000ml Bottle)</t>
        </is>
      </c>
      <c r="H148" s="5" t="n">
        <v>4</v>
      </c>
      <c r="I148" s="5" t="n">
        <v>12000</v>
      </c>
      <c r="J148">
        <f>H148*I148</f>
        <v/>
      </c>
      <c r="K148" t="n">
        <v>86.40000000000001</v>
      </c>
      <c r="L148" t="n">
        <v>345.6</v>
      </c>
    </row>
    <row r="149">
      <c r="A149" t="inlineStr">
        <is>
          <t>2026-06</t>
        </is>
      </c>
      <c r="B149" t="inlineStr">
        <is>
          <t>2026-06-07</t>
        </is>
      </c>
      <c r="C149" t="inlineStr">
        <is>
          <t>CC-CC001-0184</t>
        </is>
      </c>
      <c r="D149" t="inlineStr">
        <is>
          <t>PJ</t>
        </is>
      </c>
      <c r="E149" t="inlineStr">
        <is>
          <t>The Milk Ministry</t>
        </is>
      </c>
      <c r="F149" t="inlineStr">
        <is>
          <t>Fresh Milk</t>
        </is>
      </c>
      <c r="G149" t="inlineStr">
        <is>
          <t>Carton (12× 2,000ml Bottle)</t>
        </is>
      </c>
      <c r="H149" s="5" t="n">
        <v>8</v>
      </c>
      <c r="I149" s="5" t="n">
        <v>24000</v>
      </c>
      <c r="J149">
        <f>H149*I149</f>
        <v/>
      </c>
      <c r="K149" t="n">
        <v>84.95999999999999</v>
      </c>
      <c r="L149" t="n">
        <v>679.6799999999999</v>
      </c>
    </row>
    <row r="150">
      <c r="A150" t="inlineStr">
        <is>
          <t>2026-06</t>
        </is>
      </c>
      <c r="B150" t="inlineStr">
        <is>
          <t>2026-06-07</t>
        </is>
      </c>
      <c r="C150" t="inlineStr">
        <is>
          <t>CC-CC003-0126</t>
        </is>
      </c>
      <c r="D150" t="inlineStr">
        <is>
          <t>TAM</t>
        </is>
      </c>
      <c r="E150" t="inlineStr">
        <is>
          <t>The Milk Ministry</t>
        </is>
      </c>
      <c r="F150" t="inlineStr">
        <is>
          <t>Fresh Milk</t>
        </is>
      </c>
      <c r="G150" t="inlineStr">
        <is>
          <t>Carton (12× 2,000ml Bottle)</t>
        </is>
      </c>
      <c r="H150" s="5" t="n">
        <v>7</v>
      </c>
      <c r="I150" s="5" t="n">
        <v>24000</v>
      </c>
      <c r="J150">
        <f>H150*I150</f>
        <v/>
      </c>
      <c r="K150" t="n">
        <v>84.95999999999999</v>
      </c>
      <c r="L150" t="n">
        <v>594.72</v>
      </c>
    </row>
    <row r="151">
      <c r="A151" t="inlineStr">
        <is>
          <t>2026-06</t>
        </is>
      </c>
      <c r="B151" t="inlineStr">
        <is>
          <t>2026-06-07</t>
        </is>
      </c>
      <c r="C151" t="inlineStr">
        <is>
          <t>CC-CC002-0174</t>
        </is>
      </c>
      <c r="D151" t="inlineStr">
        <is>
          <t>SA</t>
        </is>
      </c>
      <c r="E151" t="inlineStr">
        <is>
          <t>Milk n Moka</t>
        </is>
      </c>
      <c r="F151" t="inlineStr">
        <is>
          <t>Fresh Milk</t>
        </is>
      </c>
      <c r="G151" t="inlineStr">
        <is>
          <t>Carton (12× 1,000ml Bottle)</t>
        </is>
      </c>
      <c r="H151" s="5" t="n">
        <v>5</v>
      </c>
      <c r="I151" s="5" t="n">
        <v>12000</v>
      </c>
      <c r="J151">
        <f>H151*I151</f>
        <v/>
      </c>
      <c r="K151" t="n">
        <v>86.40000000000001</v>
      </c>
      <c r="L151" t="n">
        <v>432</v>
      </c>
    </row>
    <row r="152">
      <c r="A152" t="inlineStr">
        <is>
          <t>2026-06</t>
        </is>
      </c>
      <c r="B152" t="inlineStr">
        <is>
          <t>2026-06-09</t>
        </is>
      </c>
      <c r="C152" t="inlineStr">
        <is>
          <t>CC-CC001-0197</t>
        </is>
      </c>
      <c r="D152" t="inlineStr">
        <is>
          <t>PJ</t>
        </is>
      </c>
      <c r="E152" t="inlineStr">
        <is>
          <t>The Milk Ministry</t>
        </is>
      </c>
      <c r="F152" t="inlineStr">
        <is>
          <t>Fresh Milk</t>
        </is>
      </c>
      <c r="G152" t="inlineStr">
        <is>
          <t>Carton (12× 2,000ml Bottle)</t>
        </is>
      </c>
      <c r="H152" s="5" t="n">
        <v>7</v>
      </c>
      <c r="I152" s="5" t="n">
        <v>24000</v>
      </c>
      <c r="J152">
        <f>H152*I152</f>
        <v/>
      </c>
      <c r="K152" t="n">
        <v>84.95999999999999</v>
      </c>
      <c r="L152" t="n">
        <v>594.72</v>
      </c>
    </row>
    <row r="153">
      <c r="A153" t="inlineStr">
        <is>
          <t>2026-06</t>
        </is>
      </c>
      <c r="B153" t="inlineStr">
        <is>
          <t>2026-06-09</t>
        </is>
      </c>
      <c r="C153" t="inlineStr">
        <is>
          <t>CC-CC002-0184</t>
        </is>
      </c>
      <c r="D153" t="inlineStr">
        <is>
          <t>SA</t>
        </is>
      </c>
      <c r="E153" t="inlineStr">
        <is>
          <t>Milk n Moka</t>
        </is>
      </c>
      <c r="F153" t="inlineStr">
        <is>
          <t>Fresh Milk</t>
        </is>
      </c>
      <c r="G153" t="inlineStr">
        <is>
          <t>Carton (12× 1,000ml Bottle)</t>
        </is>
      </c>
      <c r="H153" s="5" t="n">
        <v>5</v>
      </c>
      <c r="I153" s="5" t="n">
        <v>12000</v>
      </c>
      <c r="J153">
        <f>H153*I153</f>
        <v/>
      </c>
      <c r="K153" t="n">
        <v>86.40000000000001</v>
      </c>
      <c r="L153" t="n">
        <v>432</v>
      </c>
    </row>
    <row r="154">
      <c r="A154" t="inlineStr">
        <is>
          <t>2026-06</t>
        </is>
      </c>
      <c r="B154" t="inlineStr">
        <is>
          <t>2026-06-11</t>
        </is>
      </c>
      <c r="C154" t="inlineStr">
        <is>
          <t>CC-CC001-0202</t>
        </is>
      </c>
      <c r="D154" t="inlineStr">
        <is>
          <t>PJ</t>
        </is>
      </c>
      <c r="E154" t="inlineStr">
        <is>
          <t>The Milk Ministry</t>
        </is>
      </c>
      <c r="F154" t="inlineStr">
        <is>
          <t>Fresh Milk</t>
        </is>
      </c>
      <c r="G154" t="inlineStr">
        <is>
          <t>Carton (12× 2,000ml Bottle)</t>
        </is>
      </c>
      <c r="H154" s="5" t="n">
        <v>7</v>
      </c>
      <c r="I154" s="5" t="n">
        <v>24000</v>
      </c>
      <c r="J154">
        <f>H154*I154</f>
        <v/>
      </c>
      <c r="K154" t="n">
        <v>84.95999999999999</v>
      </c>
      <c r="L154" t="n">
        <v>594.72</v>
      </c>
    </row>
    <row r="155">
      <c r="A155" t="inlineStr">
        <is>
          <t>2026-06</t>
        </is>
      </c>
      <c r="B155" t="inlineStr">
        <is>
          <t>2026-06-11</t>
        </is>
      </c>
      <c r="C155" t="inlineStr">
        <is>
          <t>CC-CC002-0188</t>
        </is>
      </c>
      <c r="D155" t="inlineStr">
        <is>
          <t>SA</t>
        </is>
      </c>
      <c r="E155" t="inlineStr">
        <is>
          <t>Milk n Moka</t>
        </is>
      </c>
      <c r="F155" t="inlineStr">
        <is>
          <t>Fresh Milk</t>
        </is>
      </c>
      <c r="G155" t="inlineStr">
        <is>
          <t>Carton (12× 1,000ml Bottle)</t>
        </is>
      </c>
      <c r="H155" s="5" t="n">
        <v>5</v>
      </c>
      <c r="I155" s="5" t="n">
        <v>12000</v>
      </c>
      <c r="J155">
        <f>H155*I155</f>
        <v/>
      </c>
      <c r="K155" t="n">
        <v>86.40000000000001</v>
      </c>
      <c r="L155" t="n">
        <v>432</v>
      </c>
    </row>
    <row r="156">
      <c r="A156" t="inlineStr">
        <is>
          <t>2026-06</t>
        </is>
      </c>
      <c r="B156" t="inlineStr">
        <is>
          <t>2026-06-11</t>
        </is>
      </c>
      <c r="C156" t="inlineStr">
        <is>
          <t>CC-CC003-0134</t>
        </is>
      </c>
      <c r="D156" t="inlineStr">
        <is>
          <t>TAM</t>
        </is>
      </c>
      <c r="E156" t="inlineStr">
        <is>
          <t>The Milk Ministry</t>
        </is>
      </c>
      <c r="F156" t="inlineStr">
        <is>
          <t>Fresh Milk</t>
        </is>
      </c>
      <c r="G156" t="inlineStr">
        <is>
          <t>Carton (12× 2,000ml Bottle)</t>
        </is>
      </c>
      <c r="H156" s="5" t="n">
        <v>5</v>
      </c>
      <c r="I156" s="5" t="n">
        <v>24000</v>
      </c>
      <c r="J156">
        <f>H156*I156</f>
        <v/>
      </c>
      <c r="K156" t="n">
        <v>84.95999999999999</v>
      </c>
      <c r="L156" t="n">
        <v>424.8</v>
      </c>
    </row>
    <row r="157">
      <c r="A157" t="inlineStr">
        <is>
          <t>2026-06</t>
        </is>
      </c>
      <c r="B157" t="inlineStr">
        <is>
          <t>2026-06-17</t>
        </is>
      </c>
      <c r="C157" t="inlineStr">
        <is>
          <t>CC-CC003-0139</t>
        </is>
      </c>
      <c r="D157" t="inlineStr">
        <is>
          <t>TAM</t>
        </is>
      </c>
      <c r="E157" t="inlineStr">
        <is>
          <t>The Milk Ministry</t>
        </is>
      </c>
      <c r="F157" t="inlineStr">
        <is>
          <t>Fresh Milk</t>
        </is>
      </c>
      <c r="G157" t="inlineStr">
        <is>
          <t>Carton (12× 2,000ml Bottle)</t>
        </is>
      </c>
      <c r="H157" s="5" t="n">
        <v>8</v>
      </c>
      <c r="I157" s="5" t="n">
        <v>24000</v>
      </c>
      <c r="J157">
        <f>H157*I157</f>
        <v/>
      </c>
      <c r="K157" t="n">
        <v>84.95999999999999</v>
      </c>
      <c r="L157" t="n">
        <v>679.6799999999999</v>
      </c>
    </row>
    <row r="158">
      <c r="A158" t="inlineStr">
        <is>
          <t>2026-06</t>
        </is>
      </c>
      <c r="B158" t="inlineStr">
        <is>
          <t>2026-06-17</t>
        </is>
      </c>
      <c r="C158" t="inlineStr">
        <is>
          <t>CC-CC001-0214</t>
        </is>
      </c>
      <c r="D158" t="inlineStr">
        <is>
          <t>PJ</t>
        </is>
      </c>
      <c r="E158" t="inlineStr">
        <is>
          <t>The Milk Ministry</t>
        </is>
      </c>
      <c r="F158" t="inlineStr">
        <is>
          <t>Fresh Milk</t>
        </is>
      </c>
      <c r="G158" t="inlineStr">
        <is>
          <t>Carton (12× 2,000ml Bottle)</t>
        </is>
      </c>
      <c r="H158" s="5" t="n">
        <v>6</v>
      </c>
      <c r="I158" s="5" t="n">
        <v>24000</v>
      </c>
      <c r="J158">
        <f>H158*I158</f>
        <v/>
      </c>
      <c r="K158" t="n">
        <v>84.95999999999999</v>
      </c>
      <c r="L158" t="n">
        <v>509.76</v>
      </c>
    </row>
    <row r="159">
      <c r="A159" t="inlineStr">
        <is>
          <t>2026-06</t>
        </is>
      </c>
      <c r="B159" t="inlineStr">
        <is>
          <t>2026-06-18</t>
        </is>
      </c>
      <c r="C159" t="inlineStr">
        <is>
          <t>CC-CC002-0204</t>
        </is>
      </c>
      <c r="D159" t="inlineStr">
        <is>
          <t>SA</t>
        </is>
      </c>
      <c r="E159" t="inlineStr">
        <is>
          <t>Milk n Moka</t>
        </is>
      </c>
      <c r="F159" t="inlineStr">
        <is>
          <t>Fresh Milk</t>
        </is>
      </c>
      <c r="G159" t="inlineStr">
        <is>
          <t>Carton (12× 1,000ml Bottle)</t>
        </is>
      </c>
      <c r="H159" s="5" t="n">
        <v>4</v>
      </c>
      <c r="I159" s="5" t="n">
        <v>12000</v>
      </c>
      <c r="J159">
        <f>H159*I159</f>
        <v/>
      </c>
      <c r="K159" t="n">
        <v>86.40000000000001</v>
      </c>
      <c r="L159" t="n">
        <v>345.6</v>
      </c>
    </row>
    <row r="160">
      <c r="A160" t="inlineStr">
        <is>
          <t>2026-06</t>
        </is>
      </c>
      <c r="B160" t="inlineStr">
        <is>
          <t>2026-06-18</t>
        </is>
      </c>
      <c r="C160" t="inlineStr">
        <is>
          <t>CC-CC001-0220</t>
        </is>
      </c>
      <c r="D160" t="inlineStr">
        <is>
          <t>PJ</t>
        </is>
      </c>
      <c r="E160" t="inlineStr">
        <is>
          <t>The Milk Ministry</t>
        </is>
      </c>
      <c r="F160" t="inlineStr">
        <is>
          <t>Fresh Milk</t>
        </is>
      </c>
      <c r="G160" t="inlineStr">
        <is>
          <t>Carton (12× 2,000ml Bottle)</t>
        </is>
      </c>
      <c r="H160" s="5" t="n">
        <v>8</v>
      </c>
      <c r="I160" s="5" t="n">
        <v>24000</v>
      </c>
      <c r="J160">
        <f>H160*I160</f>
        <v/>
      </c>
      <c r="K160" t="n">
        <v>84.95999999999999</v>
      </c>
      <c r="L160" t="n">
        <v>679.6799999999999</v>
      </c>
    </row>
    <row r="161">
      <c r="A161" t="inlineStr">
        <is>
          <t>2026-06</t>
        </is>
      </c>
      <c r="B161" t="inlineStr">
        <is>
          <t>2026-06-18</t>
        </is>
      </c>
      <c r="C161" t="inlineStr">
        <is>
          <t>CC-CC003-0143</t>
        </is>
      </c>
      <c r="D161" t="inlineStr">
        <is>
          <t>TAM</t>
        </is>
      </c>
      <c r="E161" t="inlineStr">
        <is>
          <t>The Milk Ministry</t>
        </is>
      </c>
      <c r="F161" t="inlineStr">
        <is>
          <t>Fresh Milk</t>
        </is>
      </c>
      <c r="G161" t="inlineStr">
        <is>
          <t>Carton (12× 2,000ml Bottle)</t>
        </is>
      </c>
      <c r="H161" s="5" t="n">
        <v>8</v>
      </c>
      <c r="I161" s="5" t="n">
        <v>24000</v>
      </c>
      <c r="J161">
        <f>H161*I161</f>
        <v/>
      </c>
      <c r="K161" t="n">
        <v>84.95999999999999</v>
      </c>
      <c r="L161" t="n">
        <v>679.6799999999999</v>
      </c>
    </row>
    <row r="162">
      <c r="A162" t="inlineStr">
        <is>
          <t>2026-06</t>
        </is>
      </c>
      <c r="B162" t="inlineStr">
        <is>
          <t>2026-06-21</t>
        </is>
      </c>
      <c r="C162" t="inlineStr">
        <is>
          <t>PC-CC003-0112</t>
        </is>
      </c>
      <c r="D162" t="inlineStr">
        <is>
          <t>TAM</t>
        </is>
      </c>
      <c r="E162" t="inlineStr">
        <is>
          <t>Ad-hoc Purchase</t>
        </is>
      </c>
      <c r="F162" t="inlineStr">
        <is>
          <t>Fresh Milk</t>
        </is>
      </c>
      <c r="G162" t="inlineStr">
        <is>
          <t>Bottle (1,000ml)</t>
        </is>
      </c>
      <c r="H162" s="5" t="n">
        <v>6</v>
      </c>
      <c r="I162" s="5" t="n">
        <v>1000</v>
      </c>
      <c r="J162">
        <f>H162*I162</f>
        <v/>
      </c>
      <c r="K162" t="n">
        <v>7.9</v>
      </c>
      <c r="L162" t="n">
        <v>47.4</v>
      </c>
    </row>
    <row r="163">
      <c r="A163" t="inlineStr">
        <is>
          <t>2026-06</t>
        </is>
      </c>
      <c r="B163" t="inlineStr">
        <is>
          <t>2026-06-21</t>
        </is>
      </c>
      <c r="C163" t="inlineStr">
        <is>
          <t>CC-CC002-0218</t>
        </is>
      </c>
      <c r="D163" t="inlineStr">
        <is>
          <t>SA</t>
        </is>
      </c>
      <c r="E163" t="inlineStr">
        <is>
          <t>Milk n Moka</t>
        </is>
      </c>
      <c r="F163" t="inlineStr">
        <is>
          <t>Fresh Milk</t>
        </is>
      </c>
      <c r="G163" t="inlineStr">
        <is>
          <t>Carton (12× 1,000ml Bottle)</t>
        </is>
      </c>
      <c r="H163" s="5" t="n">
        <v>5</v>
      </c>
      <c r="I163" s="5" t="n">
        <v>12000</v>
      </c>
      <c r="J163">
        <f>H163*I163</f>
        <v/>
      </c>
      <c r="K163" t="n">
        <v>86.40000000000001</v>
      </c>
      <c r="L163" t="n">
        <v>432</v>
      </c>
    </row>
    <row r="164">
      <c r="A164" t="inlineStr">
        <is>
          <t>2026-06</t>
        </is>
      </c>
      <c r="B164" t="inlineStr">
        <is>
          <t>2026-06-23</t>
        </is>
      </c>
      <c r="C164" t="inlineStr">
        <is>
          <t>PC-CC002-0133</t>
        </is>
      </c>
      <c r="D164" t="inlineStr">
        <is>
          <t>SA</t>
        </is>
      </c>
      <c r="E164" t="inlineStr">
        <is>
          <t>Ad-hoc Purchase</t>
        </is>
      </c>
      <c r="F164" t="inlineStr">
        <is>
          <t>Fresh Milk</t>
        </is>
      </c>
      <c r="G164" t="inlineStr">
        <is>
          <t>Bottle (1,000ml)</t>
        </is>
      </c>
      <c r="H164" s="5" t="n">
        <v>10</v>
      </c>
      <c r="I164" s="5" t="n">
        <v>1000</v>
      </c>
      <c r="J164">
        <f>H164*I164</f>
        <v/>
      </c>
      <c r="K164" t="n">
        <v>8.699999999999999</v>
      </c>
      <c r="L164" t="n">
        <v>87</v>
      </c>
    </row>
    <row r="165">
      <c r="A165" t="inlineStr">
        <is>
          <t>2026-06</t>
        </is>
      </c>
      <c r="B165" t="inlineStr">
        <is>
          <t>2026-06-23</t>
        </is>
      </c>
      <c r="C165" t="inlineStr">
        <is>
          <t>PC-CC001-0253</t>
        </is>
      </c>
      <c r="D165" t="inlineStr">
        <is>
          <t>PJ</t>
        </is>
      </c>
      <c r="E165" t="inlineStr">
        <is>
          <t>Ad-hoc Purchase</t>
        </is>
      </c>
      <c r="F165" t="inlineStr">
        <is>
          <t>Fresh Milk</t>
        </is>
      </c>
      <c r="G165" t="inlineStr">
        <is>
          <t>2,000ml Bottle</t>
        </is>
      </c>
      <c r="H165" s="5" t="n">
        <v>12</v>
      </c>
      <c r="I165" s="5" t="n">
        <v>2000</v>
      </c>
      <c r="J165">
        <f>H165*I165</f>
        <v/>
      </c>
      <c r="K165" t="n">
        <v>16.37</v>
      </c>
      <c r="L165" t="n">
        <v>196.4</v>
      </c>
    </row>
    <row r="166">
      <c r="A166" t="inlineStr">
        <is>
          <t>2026-06</t>
        </is>
      </c>
      <c r="B166" t="inlineStr">
        <is>
          <t>2026-06-23</t>
        </is>
      </c>
      <c r="C166" t="inlineStr">
        <is>
          <t>PC-CC003-0128</t>
        </is>
      </c>
      <c r="D166" t="inlineStr">
        <is>
          <t>TAM</t>
        </is>
      </c>
      <c r="E166" t="inlineStr">
        <is>
          <t>Ad-hoc Purchase</t>
        </is>
      </c>
      <c r="F166" t="inlineStr">
        <is>
          <t>Fresh Milk</t>
        </is>
      </c>
      <c r="G166" t="inlineStr">
        <is>
          <t>Bottle (1,000ml)</t>
        </is>
      </c>
      <c r="H166" s="5" t="n">
        <v>5</v>
      </c>
      <c r="I166" s="5" t="n">
        <v>1000</v>
      </c>
      <c r="J166">
        <f>H166*I166</f>
        <v/>
      </c>
      <c r="K166" t="n">
        <v>7.9</v>
      </c>
      <c r="L166" t="n">
        <v>39.5</v>
      </c>
    </row>
    <row r="167">
      <c r="A167" t="inlineStr">
        <is>
          <t>2026-06</t>
        </is>
      </c>
      <c r="B167" t="inlineStr">
        <is>
          <t>2026-06-24</t>
        </is>
      </c>
      <c r="C167" t="inlineStr">
        <is>
          <t>CC-CC001-0234</t>
        </is>
      </c>
      <c r="D167" t="inlineStr">
        <is>
          <t>PJ</t>
        </is>
      </c>
      <c r="E167" t="inlineStr">
        <is>
          <t>The Milk Ministry</t>
        </is>
      </c>
      <c r="F167" t="inlineStr">
        <is>
          <t>Fresh Milk</t>
        </is>
      </c>
      <c r="G167" t="inlineStr">
        <is>
          <t>Carton (12× 2,000ml Bottle)</t>
        </is>
      </c>
      <c r="H167" s="5" t="n">
        <v>8</v>
      </c>
      <c r="I167" s="5" t="n">
        <v>24000</v>
      </c>
      <c r="J167">
        <f>H167*I167</f>
        <v/>
      </c>
      <c r="K167" t="n">
        <v>84.95999999999999</v>
      </c>
      <c r="L167" t="n">
        <v>679.6799999999999</v>
      </c>
    </row>
    <row r="168">
      <c r="A168" t="inlineStr">
        <is>
          <t>2026-06</t>
        </is>
      </c>
      <c r="B168" t="inlineStr">
        <is>
          <t>2026-06-24</t>
        </is>
      </c>
      <c r="C168" t="inlineStr">
        <is>
          <t>CC-CC003-0153</t>
        </is>
      </c>
      <c r="D168" t="inlineStr">
        <is>
          <t>TAM</t>
        </is>
      </c>
      <c r="E168" t="inlineStr">
        <is>
          <t>The Milk Ministry</t>
        </is>
      </c>
      <c r="F168" t="inlineStr">
        <is>
          <t>Fresh Milk</t>
        </is>
      </c>
      <c r="G168" t="inlineStr">
        <is>
          <t>Carton (12× 2,000ml Bottle)</t>
        </is>
      </c>
      <c r="H168" s="5" t="n">
        <v>6</v>
      </c>
      <c r="I168" s="5" t="n">
        <v>24000</v>
      </c>
      <c r="J168">
        <f>H168*I168</f>
        <v/>
      </c>
      <c r="K168" t="n">
        <v>84.95999999999999</v>
      </c>
      <c r="L168" t="n">
        <v>509.76</v>
      </c>
    </row>
    <row r="169">
      <c r="A169" t="inlineStr">
        <is>
          <t>2026-06</t>
        </is>
      </c>
      <c r="B169" t="inlineStr">
        <is>
          <t>2026-06-24</t>
        </is>
      </c>
      <c r="C169" t="inlineStr">
        <is>
          <t>CC-CC002-0224</t>
        </is>
      </c>
      <c r="D169" t="inlineStr">
        <is>
          <t>SA</t>
        </is>
      </c>
      <c r="E169" t="inlineStr">
        <is>
          <t>Milk n Moka</t>
        </is>
      </c>
      <c r="F169" t="inlineStr">
        <is>
          <t>Fresh Milk</t>
        </is>
      </c>
      <c r="G169" t="inlineStr">
        <is>
          <t>Carton (12× 1,000ml Bottle)</t>
        </is>
      </c>
      <c r="H169" s="5" t="n">
        <v>5</v>
      </c>
      <c r="I169" s="5" t="n">
        <v>12000</v>
      </c>
      <c r="J169">
        <f>H169*I169</f>
        <v/>
      </c>
      <c r="K169" t="n">
        <v>86.40000000000001</v>
      </c>
      <c r="L169" t="n">
        <v>432</v>
      </c>
    </row>
    <row r="170">
      <c r="A170" t="inlineStr">
        <is>
          <t>2026-06</t>
        </is>
      </c>
      <c r="B170" t="inlineStr">
        <is>
          <t>2026-06-25</t>
        </is>
      </c>
      <c r="C170" t="inlineStr">
        <is>
          <t>CC-CC001-0239</t>
        </is>
      </c>
      <c r="D170" t="inlineStr">
        <is>
          <t>PJ</t>
        </is>
      </c>
      <c r="E170" t="inlineStr">
        <is>
          <t>The Milk Ministry</t>
        </is>
      </c>
      <c r="F170" t="inlineStr">
        <is>
          <t>Fresh Milk</t>
        </is>
      </c>
      <c r="G170" t="inlineStr">
        <is>
          <t>Carton (12× 2,000ml Bottle)</t>
        </is>
      </c>
      <c r="H170" s="5" t="n">
        <v>7</v>
      </c>
      <c r="I170" s="5" t="n">
        <v>24000</v>
      </c>
      <c r="J170">
        <f>H170*I170</f>
        <v/>
      </c>
      <c r="K170" t="n">
        <v>84.95999999999999</v>
      </c>
      <c r="L170" t="n">
        <v>594.72</v>
      </c>
    </row>
    <row r="171">
      <c r="A171" t="inlineStr">
        <is>
          <t>2026-06</t>
        </is>
      </c>
      <c r="B171" t="inlineStr">
        <is>
          <t>2026-06-25</t>
        </is>
      </c>
      <c r="C171" t="inlineStr">
        <is>
          <t>CC-CC002-0226</t>
        </is>
      </c>
      <c r="D171" t="inlineStr">
        <is>
          <t>SA</t>
        </is>
      </c>
      <c r="E171" t="inlineStr">
        <is>
          <t>Milk n Moka</t>
        </is>
      </c>
      <c r="F171" t="inlineStr">
        <is>
          <t>Fresh Milk</t>
        </is>
      </c>
      <c r="G171" t="inlineStr">
        <is>
          <t>Carton (12× 1,000ml Bottle)</t>
        </is>
      </c>
      <c r="H171" s="5" t="n">
        <v>5</v>
      </c>
      <c r="I171" s="5" t="n">
        <v>12000</v>
      </c>
      <c r="J171">
        <f>H171*I171</f>
        <v/>
      </c>
      <c r="K171" t="n">
        <v>86.40000000000001</v>
      </c>
      <c r="L171" t="n">
        <v>432</v>
      </c>
    </row>
    <row r="172">
      <c r="A172" t="inlineStr">
        <is>
          <t>2026-06</t>
        </is>
      </c>
      <c r="B172" t="inlineStr">
        <is>
          <t>2026-06-30</t>
        </is>
      </c>
      <c r="C172" t="inlineStr">
        <is>
          <t>CC-CC001-0248</t>
        </is>
      </c>
      <c r="D172" t="inlineStr">
        <is>
          <t>PJ</t>
        </is>
      </c>
      <c r="E172" t="inlineStr">
        <is>
          <t>The Milk Ministry</t>
        </is>
      </c>
      <c r="F172" t="inlineStr">
        <is>
          <t>Fresh Milk</t>
        </is>
      </c>
      <c r="G172" t="inlineStr">
        <is>
          <t>Carton (12× 2,000ml Bottle)</t>
        </is>
      </c>
      <c r="H172" s="5" t="n">
        <v>8</v>
      </c>
      <c r="I172" s="5" t="n">
        <v>24000</v>
      </c>
      <c r="J172">
        <f>H172*I172</f>
        <v/>
      </c>
      <c r="K172" t="n">
        <v>84.95999999999999</v>
      </c>
      <c r="L172" t="n">
        <v>679.6799999999999</v>
      </c>
    </row>
    <row r="173">
      <c r="A173" t="inlineStr">
        <is>
          <t>2026-06</t>
        </is>
      </c>
      <c r="B173" t="inlineStr">
        <is>
          <t>2026-06-30</t>
        </is>
      </c>
      <c r="C173" t="inlineStr">
        <is>
          <t>CC-CC002-0236</t>
        </is>
      </c>
      <c r="D173" t="inlineStr">
        <is>
          <t>SA</t>
        </is>
      </c>
      <c r="E173" t="inlineStr">
        <is>
          <t>Milk n Moka</t>
        </is>
      </c>
      <c r="F173" t="inlineStr">
        <is>
          <t>Fresh Milk</t>
        </is>
      </c>
      <c r="G173" t="inlineStr">
        <is>
          <t>Carton (12× 1,000ml Bottle)</t>
        </is>
      </c>
      <c r="H173" s="5" t="n">
        <v>5</v>
      </c>
      <c r="I173" s="5" t="n">
        <v>12000</v>
      </c>
      <c r="J173">
        <f>H173*I173</f>
        <v/>
      </c>
      <c r="K173" t="n">
        <v>86.40000000000001</v>
      </c>
      <c r="L173" t="n">
        <v>432</v>
      </c>
    </row>
    <row r="174">
      <c r="A174" t="inlineStr">
        <is>
          <t>2026-07</t>
        </is>
      </c>
      <c r="B174" t="inlineStr">
        <is>
          <t>2026-07-02</t>
        </is>
      </c>
      <c r="C174" t="inlineStr">
        <is>
          <t>CC-CC003-0171</t>
        </is>
      </c>
      <c r="D174" t="inlineStr">
        <is>
          <t>TAM</t>
        </is>
      </c>
      <c r="E174" t="inlineStr">
        <is>
          <t>The Milk Ministry</t>
        </is>
      </c>
      <c r="F174" t="inlineStr">
        <is>
          <t>Fresh Milk</t>
        </is>
      </c>
      <c r="G174" t="inlineStr">
        <is>
          <t>Carton (12× 2,000ml Bottle)</t>
        </is>
      </c>
      <c r="H174" s="5" t="n">
        <v>8</v>
      </c>
      <c r="I174" s="5" t="n">
        <v>24000</v>
      </c>
      <c r="J174">
        <f>H174*I174</f>
        <v/>
      </c>
      <c r="K174" t="n">
        <v>84.95999999999999</v>
      </c>
      <c r="L174" t="n">
        <v>679.6799999999999</v>
      </c>
    </row>
    <row r="175">
      <c r="A175" t="inlineStr">
        <is>
          <t>2026-07</t>
        </is>
      </c>
      <c r="B175" t="inlineStr">
        <is>
          <t>2026-07-02</t>
        </is>
      </c>
      <c r="C175" t="inlineStr">
        <is>
          <t>CC-CC001-0260</t>
        </is>
      </c>
      <c r="D175" t="inlineStr">
        <is>
          <t>PJ</t>
        </is>
      </c>
      <c r="E175" t="inlineStr">
        <is>
          <t>The Milk Ministry</t>
        </is>
      </c>
      <c r="F175" t="inlineStr">
        <is>
          <t>Fresh Milk</t>
        </is>
      </c>
      <c r="G175" t="inlineStr">
        <is>
          <t>Carton (12× 2,000ml Bottle)</t>
        </is>
      </c>
      <c r="H175" s="5" t="n">
        <v>6</v>
      </c>
      <c r="I175" s="5" t="n">
        <v>24000</v>
      </c>
      <c r="J175">
        <f>H175*I175</f>
        <v/>
      </c>
      <c r="K175" t="n">
        <v>84.95999999999999</v>
      </c>
      <c r="L175" t="n">
        <v>509.76</v>
      </c>
    </row>
    <row r="176">
      <c r="A176" t="inlineStr">
        <is>
          <t>2026-07</t>
        </is>
      </c>
      <c r="B176" t="inlineStr">
        <is>
          <t>2026-07-03</t>
        </is>
      </c>
      <c r="C176" t="inlineStr">
        <is>
          <t>CC-CC002-0248</t>
        </is>
      </c>
      <c r="D176" t="inlineStr">
        <is>
          <t>SA</t>
        </is>
      </c>
      <c r="E176" t="inlineStr">
        <is>
          <t>Milk n Moka</t>
        </is>
      </c>
      <c r="F176" t="inlineStr">
        <is>
          <t>Fresh Milk</t>
        </is>
      </c>
      <c r="G176" t="inlineStr">
        <is>
          <t>Carton (12× 1,000ml Bottle)</t>
        </is>
      </c>
      <c r="H176" s="5" t="n">
        <v>5</v>
      </c>
      <c r="I176" s="5" t="n">
        <v>12000</v>
      </c>
      <c r="J176">
        <f>H176*I176</f>
        <v/>
      </c>
      <c r="K176" t="n">
        <v>86.40000000000001</v>
      </c>
      <c r="L176" t="n">
        <v>432</v>
      </c>
    </row>
    <row r="177">
      <c r="A177" t="inlineStr">
        <is>
          <t>2026-07</t>
        </is>
      </c>
      <c r="B177" t="inlineStr">
        <is>
          <t>2026-07-05</t>
        </is>
      </c>
      <c r="C177" t="inlineStr">
        <is>
          <t>PC-CC001-0295</t>
        </is>
      </c>
      <c r="D177" t="inlineStr">
        <is>
          <t>PJ</t>
        </is>
      </c>
      <c r="E177" t="inlineStr">
        <is>
          <t>Ad-hoc Purchase</t>
        </is>
      </c>
      <c r="F177" t="inlineStr">
        <is>
          <t>Fresh Milk</t>
        </is>
      </c>
      <c r="G177" t="inlineStr">
        <is>
          <t>2,000ml Bottle</t>
        </is>
      </c>
      <c r="H177" s="5" t="n">
        <v>10</v>
      </c>
      <c r="I177" s="5" t="n">
        <v>2000</v>
      </c>
      <c r="J177">
        <f>H177*I177</f>
        <v/>
      </c>
      <c r="K177" t="n">
        <v>16.88</v>
      </c>
      <c r="L177" t="n">
        <v>168.8</v>
      </c>
    </row>
    <row r="178">
      <c r="A178" t="inlineStr">
        <is>
          <t>2026-07</t>
        </is>
      </c>
      <c r="B178" t="inlineStr">
        <is>
          <t>2026-07-08</t>
        </is>
      </c>
      <c r="C178" t="inlineStr">
        <is>
          <t>CC-CC001-0278</t>
        </is>
      </c>
      <c r="D178" t="inlineStr">
        <is>
          <t>PJ</t>
        </is>
      </c>
      <c r="E178" t="inlineStr">
        <is>
          <t>The Milk Ministry</t>
        </is>
      </c>
      <c r="F178" t="inlineStr">
        <is>
          <t>Fresh Milk</t>
        </is>
      </c>
      <c r="G178" t="inlineStr">
        <is>
          <t>Carton (12× 2,000ml Bottle)</t>
        </is>
      </c>
      <c r="H178" s="5" t="n">
        <v>8</v>
      </c>
      <c r="I178" s="5" t="n">
        <v>24000</v>
      </c>
      <c r="J178">
        <f>H178*I178</f>
        <v/>
      </c>
      <c r="K178" t="n">
        <v>84.95999999999999</v>
      </c>
      <c r="L178" t="n">
        <v>679.6799999999999</v>
      </c>
    </row>
    <row r="179">
      <c r="A179" t="inlineStr">
        <is>
          <t>2026-07</t>
        </is>
      </c>
      <c r="B179" t="inlineStr">
        <is>
          <t>2026-07-08</t>
        </is>
      </c>
      <c r="C179" t="inlineStr">
        <is>
          <t>CC-CC003-0182</t>
        </is>
      </c>
      <c r="D179" t="inlineStr">
        <is>
          <t>TAM</t>
        </is>
      </c>
      <c r="E179" t="inlineStr">
        <is>
          <t>The Milk Ministry</t>
        </is>
      </c>
      <c r="F179" t="inlineStr">
        <is>
          <t>Fresh Milk</t>
        </is>
      </c>
      <c r="G179" t="inlineStr">
        <is>
          <t>Carton (12× 2,000ml Bottle)</t>
        </is>
      </c>
      <c r="H179" s="5" t="n">
        <v>7</v>
      </c>
      <c r="I179" s="5" t="n">
        <v>24000</v>
      </c>
      <c r="J179">
        <f>H179*I179</f>
        <v/>
      </c>
      <c r="K179" t="n">
        <v>84.95999999999999</v>
      </c>
      <c r="L179" t="n">
        <v>594.72</v>
      </c>
    </row>
    <row r="180">
      <c r="A180" t="inlineStr">
        <is>
          <t>2026-07</t>
        </is>
      </c>
      <c r="B180" t="inlineStr">
        <is>
          <t>2026-07-09</t>
        </is>
      </c>
      <c r="C180" t="inlineStr">
        <is>
          <t>CC-CC002-0263</t>
        </is>
      </c>
      <c r="D180" t="inlineStr">
        <is>
          <t>SA</t>
        </is>
      </c>
      <c r="E180" t="inlineStr">
        <is>
          <t>Milk n Moka</t>
        </is>
      </c>
      <c r="F180" t="inlineStr">
        <is>
          <t>Fresh Milk</t>
        </is>
      </c>
      <c r="G180" t="inlineStr">
        <is>
          <t>Carton (12× 1,000ml Bottle)</t>
        </is>
      </c>
      <c r="H180" s="5" t="n">
        <v>6</v>
      </c>
      <c r="I180" s="5" t="n">
        <v>12000</v>
      </c>
      <c r="J180">
        <f>H180*I180</f>
        <v/>
      </c>
      <c r="K180" t="n">
        <v>86.40000000000001</v>
      </c>
      <c r="L180" t="n">
        <v>518.4</v>
      </c>
    </row>
    <row r="181">
      <c r="A181" t="inlineStr">
        <is>
          <t>2026-07</t>
        </is>
      </c>
      <c r="B181" t="inlineStr">
        <is>
          <t>2026-07-09</t>
        </is>
      </c>
      <c r="C181" t="inlineStr">
        <is>
          <t>CC-CC002-0264</t>
        </is>
      </c>
      <c r="D181" t="inlineStr">
        <is>
          <t>SA</t>
        </is>
      </c>
      <c r="E181" t="inlineStr">
        <is>
          <t>Milk n Moka</t>
        </is>
      </c>
      <c r="F181" t="inlineStr">
        <is>
          <t>Fresh Milk</t>
        </is>
      </c>
      <c r="G181" t="inlineStr">
        <is>
          <t>Carton (12× 1,000ml Bottle)</t>
        </is>
      </c>
      <c r="H181" s="5" t="n">
        <v>5</v>
      </c>
      <c r="I181" s="5" t="n">
        <v>12000</v>
      </c>
      <c r="J181">
        <f>H181*I181</f>
        <v/>
      </c>
      <c r="K181" t="n">
        <v>86.40000000000001</v>
      </c>
      <c r="L181" t="n">
        <v>432</v>
      </c>
    </row>
    <row r="182">
      <c r="A182" t="inlineStr">
        <is>
          <t>2026-07</t>
        </is>
      </c>
      <c r="B182" t="inlineStr">
        <is>
          <t>2026-07-09</t>
        </is>
      </c>
      <c r="C182" t="inlineStr">
        <is>
          <t>CC-CC001-0280</t>
        </is>
      </c>
      <c r="D182" t="inlineStr">
        <is>
          <t>PJ</t>
        </is>
      </c>
      <c r="E182" t="inlineStr">
        <is>
          <t>The Milk Ministry</t>
        </is>
      </c>
      <c r="F182" t="inlineStr">
        <is>
          <t>Fresh Milk</t>
        </is>
      </c>
      <c r="G182" t="inlineStr">
        <is>
          <t>Carton (12× 2,000ml Bottle)</t>
        </is>
      </c>
      <c r="H182" s="5" t="n">
        <v>6</v>
      </c>
      <c r="I182" s="5" t="n">
        <v>24000</v>
      </c>
      <c r="J182">
        <f>H182*I182</f>
        <v/>
      </c>
      <c r="K182" t="n">
        <v>84.95999999999999</v>
      </c>
      <c r="L182" t="n">
        <v>509.76</v>
      </c>
    </row>
    <row r="183">
      <c r="A183" t="inlineStr">
        <is>
          <t>2026-07</t>
        </is>
      </c>
      <c r="B183" t="inlineStr">
        <is>
          <t>2026-07-09</t>
        </is>
      </c>
      <c r="C183" t="inlineStr">
        <is>
          <t>CC-CC003-0184</t>
        </is>
      </c>
      <c r="D183" t="inlineStr">
        <is>
          <t>TAM</t>
        </is>
      </c>
      <c r="E183" t="inlineStr">
        <is>
          <t>The Milk Ministry</t>
        </is>
      </c>
      <c r="F183" t="inlineStr">
        <is>
          <t>Fresh Milk</t>
        </is>
      </c>
      <c r="G183" t="inlineStr">
        <is>
          <t>Carton (12× 2,000ml Bottle)</t>
        </is>
      </c>
      <c r="H183" s="5" t="n">
        <v>6</v>
      </c>
      <c r="I183" s="5" t="n">
        <v>24000</v>
      </c>
      <c r="J183">
        <f>H183*I183</f>
        <v/>
      </c>
      <c r="K183" t="n">
        <v>84.95999999999999</v>
      </c>
      <c r="L183" t="n">
        <v>509.76</v>
      </c>
    </row>
    <row r="184">
      <c r="A184" t="inlineStr">
        <is>
          <t>2026-07</t>
        </is>
      </c>
      <c r="B184" t="inlineStr">
        <is>
          <t>2026-07-09</t>
        </is>
      </c>
      <c r="C184" t="inlineStr">
        <is>
          <t>CC-CC002-0266</t>
        </is>
      </c>
      <c r="D184" t="inlineStr">
        <is>
          <t>SA</t>
        </is>
      </c>
      <c r="E184" t="inlineStr">
        <is>
          <t>Milk n Moka</t>
        </is>
      </c>
      <c r="F184" t="inlineStr">
        <is>
          <t>Fresh Milk</t>
        </is>
      </c>
      <c r="G184" t="inlineStr">
        <is>
          <t>Carton (12× 1,000ml Bottle)</t>
        </is>
      </c>
      <c r="H184" s="5" t="n">
        <v>5</v>
      </c>
      <c r="I184" s="5" t="n">
        <v>12000</v>
      </c>
      <c r="J184">
        <f>H184*I184</f>
        <v/>
      </c>
      <c r="K184" t="n">
        <v>86.40000000000001</v>
      </c>
      <c r="L184" t="n">
        <v>432</v>
      </c>
    </row>
    <row r="185">
      <c r="A185" t="inlineStr">
        <is>
          <t>2026-07</t>
        </is>
      </c>
      <c r="B185" t="inlineStr">
        <is>
          <t>2026-07-15</t>
        </is>
      </c>
      <c r="C185" t="inlineStr">
        <is>
          <t>CC-CC001-0294</t>
        </is>
      </c>
      <c r="D185" t="inlineStr">
        <is>
          <t>PJ</t>
        </is>
      </c>
      <c r="E185" t="inlineStr">
        <is>
          <t>The Milk Ministry</t>
        </is>
      </c>
      <c r="F185" t="inlineStr">
        <is>
          <t>Fresh Milk</t>
        </is>
      </c>
      <c r="G185" t="inlineStr">
        <is>
          <t>Carton (12× 2,000ml Bottle)</t>
        </is>
      </c>
      <c r="H185" s="5" t="n">
        <v>10</v>
      </c>
      <c r="I185" s="5" t="n">
        <v>24000</v>
      </c>
      <c r="J185">
        <f>H185*I185</f>
        <v/>
      </c>
      <c r="K185" t="n">
        <v>88.7</v>
      </c>
      <c r="L185" t="n">
        <v>887</v>
      </c>
    </row>
    <row r="186">
      <c r="A186" t="inlineStr">
        <is>
          <t>2026-07</t>
        </is>
      </c>
      <c r="B186" t="inlineStr">
        <is>
          <t>2026-07-15</t>
        </is>
      </c>
      <c r="C186" t="inlineStr">
        <is>
          <t>CC-CC003-0194</t>
        </is>
      </c>
      <c r="D186" t="inlineStr">
        <is>
          <t>TAM</t>
        </is>
      </c>
      <c r="E186" t="inlineStr">
        <is>
          <t>The Milk Ministry</t>
        </is>
      </c>
      <c r="F186" t="inlineStr">
        <is>
          <t>Fresh Milk</t>
        </is>
      </c>
      <c r="G186" t="inlineStr">
        <is>
          <t>Carton (12× 2,000ml Bottle)</t>
        </is>
      </c>
      <c r="H186" s="5" t="n">
        <v>7</v>
      </c>
      <c r="I186" s="5" t="n">
        <v>24000</v>
      </c>
      <c r="J186">
        <f>H186*I186</f>
        <v/>
      </c>
      <c r="K186" t="n">
        <v>83.90000000000001</v>
      </c>
      <c r="L186" t="n">
        <v>587.3</v>
      </c>
    </row>
    <row r="187">
      <c r="A187" t="inlineStr">
        <is>
          <t>2026-07</t>
        </is>
      </c>
      <c r="B187" t="inlineStr">
        <is>
          <t>2026-07-16</t>
        </is>
      </c>
      <c r="C187" t="inlineStr">
        <is>
          <t>CC-CC002-0284</t>
        </is>
      </c>
      <c r="D187" t="inlineStr">
        <is>
          <t>SA</t>
        </is>
      </c>
      <c r="E187" t="inlineStr">
        <is>
          <t>Milk n Moka</t>
        </is>
      </c>
      <c r="F187" t="inlineStr">
        <is>
          <t>Fresh Milk</t>
        </is>
      </c>
      <c r="G187" t="inlineStr">
        <is>
          <t>Carton (12× 1,000ml Bottle)</t>
        </is>
      </c>
      <c r="H187" s="5" t="n">
        <v>5</v>
      </c>
      <c r="I187" s="5" t="n">
        <v>12000</v>
      </c>
      <c r="J187">
        <f>H187*I187</f>
        <v/>
      </c>
      <c r="K187" t="n">
        <v>88.2</v>
      </c>
      <c r="L187" t="n">
        <v>441</v>
      </c>
    </row>
    <row r="188">
      <c r="A188" t="inlineStr">
        <is>
          <t>2026-07</t>
        </is>
      </c>
      <c r="B188" t="inlineStr">
        <is>
          <t>2026-07-16</t>
        </is>
      </c>
      <c r="C188" t="inlineStr">
        <is>
          <t>CC-CC002-0285</t>
        </is>
      </c>
      <c r="D188" t="inlineStr">
        <is>
          <t>SA</t>
        </is>
      </c>
      <c r="E188" t="inlineStr">
        <is>
          <t>Milk n Moka</t>
        </is>
      </c>
      <c r="F188" t="inlineStr">
        <is>
          <t>Fresh Milk</t>
        </is>
      </c>
      <c r="G188" t="inlineStr">
        <is>
          <t>Carton (12× 1,000ml Bottle)</t>
        </is>
      </c>
      <c r="H188" s="5" t="n">
        <v>5</v>
      </c>
      <c r="I188" s="5" t="n">
        <v>12000</v>
      </c>
      <c r="J188">
        <f>H188*I188</f>
        <v/>
      </c>
      <c r="K188" t="n">
        <v>85.54000000000001</v>
      </c>
      <c r="L188" t="n">
        <v>427.7</v>
      </c>
    </row>
    <row r="189">
      <c r="A189" t="inlineStr">
        <is>
          <t>2026-07</t>
        </is>
      </c>
      <c r="B189" t="inlineStr">
        <is>
          <t>2026-07-16</t>
        </is>
      </c>
      <c r="C189" t="inlineStr">
        <is>
          <t>CC-CC002-0286</t>
        </is>
      </c>
      <c r="D189" t="inlineStr">
        <is>
          <t>SA</t>
        </is>
      </c>
      <c r="E189" t="inlineStr">
        <is>
          <t>The Milk Ministry</t>
        </is>
      </c>
      <c r="F189" t="inlineStr">
        <is>
          <t>Fresh Milk</t>
        </is>
      </c>
      <c r="G189" t="inlineStr">
        <is>
          <t>Carton (12× 1,000ml Bottle)</t>
        </is>
      </c>
      <c r="H189" s="5" t="n">
        <v>5</v>
      </c>
      <c r="I189" s="5" t="n">
        <v>12000</v>
      </c>
      <c r="J189">
        <f>H189*I189</f>
        <v/>
      </c>
      <c r="K189" t="n">
        <v>83.90000000000001</v>
      </c>
      <c r="L189" t="n">
        <v>419.5</v>
      </c>
    </row>
    <row r="190">
      <c r="A190" t="inlineStr">
        <is>
          <t>2026-07</t>
        </is>
      </c>
      <c r="B190" t="inlineStr">
        <is>
          <t>2026-07-16</t>
        </is>
      </c>
      <c r="C190" t="inlineStr">
        <is>
          <t>CC-CC003-0197</t>
        </is>
      </c>
      <c r="D190" t="inlineStr">
        <is>
          <t>TAM</t>
        </is>
      </c>
      <c r="E190" t="inlineStr">
        <is>
          <t>The Milk Ministry</t>
        </is>
      </c>
      <c r="F190" t="inlineStr">
        <is>
          <t>Fresh Milk</t>
        </is>
      </c>
      <c r="G190" t="inlineStr">
        <is>
          <t>Carton (12× 2,000ml Bottle)</t>
        </is>
      </c>
      <c r="H190" s="5" t="n">
        <v>7</v>
      </c>
      <c r="I190" s="5" t="n">
        <v>24000</v>
      </c>
      <c r="J190">
        <f>H190*I190</f>
        <v/>
      </c>
      <c r="K190" t="n">
        <v>174.96</v>
      </c>
      <c r="L190" t="n">
        <v>1224.72</v>
      </c>
    </row>
    <row r="191">
      <c r="A191" t="inlineStr">
        <is>
          <t>2026-07</t>
        </is>
      </c>
      <c r="B191" t="inlineStr">
        <is>
          <t>2026-07-16</t>
        </is>
      </c>
      <c r="C191" t="inlineStr">
        <is>
          <t>CC-CC001-0295</t>
        </is>
      </c>
      <c r="D191" t="inlineStr">
        <is>
          <t>PJ</t>
        </is>
      </c>
      <c r="E191" t="inlineStr">
        <is>
          <t>The Milk Ministry</t>
        </is>
      </c>
      <c r="F191" t="inlineStr">
        <is>
          <t>Fresh Milk</t>
        </is>
      </c>
      <c r="G191" t="inlineStr">
        <is>
          <t>Carton (12× 2,000ml Bottle)</t>
        </is>
      </c>
      <c r="H191" s="5" t="n">
        <v>7</v>
      </c>
      <c r="I191" s="5" t="n">
        <v>24000</v>
      </c>
      <c r="J191">
        <f>H191*I191</f>
        <v/>
      </c>
      <c r="K191" t="n">
        <v>83.90000000000001</v>
      </c>
      <c r="L191" t="n">
        <v>587.3</v>
      </c>
    </row>
    <row r="192">
      <c r="A192" t="inlineStr">
        <is>
          <t>2026-07</t>
        </is>
      </c>
      <c r="B192" t="inlineStr">
        <is>
          <t>2026-07-20</t>
        </is>
      </c>
      <c r="C192" t="inlineStr">
        <is>
          <t>CC-CC003-0204</t>
        </is>
      </c>
      <c r="D192" t="inlineStr">
        <is>
          <t>TAM</t>
        </is>
      </c>
      <c r="E192" t="inlineStr">
        <is>
          <t>The Milk Ministry</t>
        </is>
      </c>
      <c r="F192" t="inlineStr">
        <is>
          <t>Fresh Milk</t>
        </is>
      </c>
      <c r="G192" t="inlineStr">
        <is>
          <t>Carton (12× 2,000ml Bottle)</t>
        </is>
      </c>
      <c r="H192" s="5" t="n">
        <v>8</v>
      </c>
      <c r="I192" s="5" t="n">
        <v>24000</v>
      </c>
      <c r="J192">
        <f>H192*I192</f>
        <v/>
      </c>
      <c r="K192" t="n">
        <v>86.3</v>
      </c>
      <c r="L192" t="n">
        <v>690.4</v>
      </c>
    </row>
    <row r="193">
      <c r="A193" t="inlineStr">
        <is>
          <t>2026-07</t>
        </is>
      </c>
      <c r="B193" t="inlineStr">
        <is>
          <t>2026-07-22</t>
        </is>
      </c>
      <c r="C193" t="inlineStr">
        <is>
          <t>CC-CC001-0313</t>
        </is>
      </c>
      <c r="D193" t="inlineStr">
        <is>
          <t>PJ</t>
        </is>
      </c>
      <c r="E193" t="inlineStr">
        <is>
          <t>The Milk Ministry</t>
        </is>
      </c>
      <c r="F193" t="inlineStr">
        <is>
          <t>Fresh Milk</t>
        </is>
      </c>
      <c r="G193" t="inlineStr">
        <is>
          <t>Carton (12× 2,000ml Bottle)</t>
        </is>
      </c>
      <c r="H193" s="5" t="n">
        <v>10</v>
      </c>
      <c r="I193" s="5" t="n">
        <v>24000</v>
      </c>
      <c r="J193">
        <f>H193*I193</f>
        <v/>
      </c>
      <c r="K193" t="n">
        <v>83.90000000000001</v>
      </c>
      <c r="L193" t="n">
        <v>839</v>
      </c>
    </row>
    <row r="194">
      <c r="A194" t="inlineStr">
        <is>
          <t>2026-07</t>
        </is>
      </c>
      <c r="B194" t="inlineStr">
        <is>
          <t>2026-07-22</t>
        </is>
      </c>
      <c r="C194" t="inlineStr">
        <is>
          <t>CC-CC002-0303</t>
        </is>
      </c>
      <c r="D194" t="inlineStr">
        <is>
          <t>SA</t>
        </is>
      </c>
      <c r="E194" t="inlineStr">
        <is>
          <t>Milk n Moka</t>
        </is>
      </c>
      <c r="F194" t="inlineStr">
        <is>
          <t>Fresh Milk</t>
        </is>
      </c>
      <c r="G194" t="inlineStr">
        <is>
          <t>Carton (12× 1,000ml Bottle)</t>
        </is>
      </c>
      <c r="H194" s="5" t="n">
        <v>5</v>
      </c>
      <c r="I194" s="5" t="n">
        <v>12000</v>
      </c>
      <c r="J194">
        <f>H194*I194</f>
        <v/>
      </c>
      <c r="K194" t="n">
        <v>84.95999999999999</v>
      </c>
      <c r="L194" t="n">
        <v>424.8</v>
      </c>
    </row>
    <row r="195">
      <c r="A195" t="inlineStr">
        <is>
          <t>2026-07</t>
        </is>
      </c>
      <c r="B195" t="inlineStr">
        <is>
          <t>2026-07-22</t>
        </is>
      </c>
      <c r="C195" t="inlineStr">
        <is>
          <t>CC-CC002-0304</t>
        </is>
      </c>
      <c r="D195" t="inlineStr">
        <is>
          <t>SA</t>
        </is>
      </c>
      <c r="E195" t="inlineStr">
        <is>
          <t>Milk n Moka</t>
        </is>
      </c>
      <c r="F195" t="inlineStr">
        <is>
          <t>Fresh Milk</t>
        </is>
      </c>
      <c r="G195" t="inlineStr">
        <is>
          <t>Carton (12× 1,000ml Bottle)</t>
        </is>
      </c>
      <c r="H195" s="5" t="n">
        <v>5</v>
      </c>
      <c r="I195" s="5" t="n">
        <v>12000</v>
      </c>
      <c r="J195">
        <f>H195*I195</f>
        <v/>
      </c>
      <c r="K195" t="n">
        <v>84</v>
      </c>
      <c r="L195" t="n">
        <v>420</v>
      </c>
    </row>
    <row r="196">
      <c r="A196" t="inlineStr">
        <is>
          <t>2026-07</t>
        </is>
      </c>
      <c r="B196" t="inlineStr">
        <is>
          <t>2026-07-23</t>
        </is>
      </c>
      <c r="C196" t="inlineStr">
        <is>
          <t>CC-CC001-0317</t>
        </is>
      </c>
      <c r="D196" t="inlineStr">
        <is>
          <t>PJ</t>
        </is>
      </c>
      <c r="E196" t="inlineStr">
        <is>
          <t>The Milk Ministry</t>
        </is>
      </c>
      <c r="F196" t="inlineStr">
        <is>
          <t>Fresh Milk</t>
        </is>
      </c>
      <c r="G196" t="inlineStr">
        <is>
          <t>Carton (12× 2,000ml Bottle)</t>
        </is>
      </c>
      <c r="H196" s="5" t="n">
        <v>8</v>
      </c>
      <c r="I196" s="5" t="n">
        <v>24000</v>
      </c>
      <c r="J196">
        <f>H196*I196</f>
        <v/>
      </c>
      <c r="K196" t="n">
        <v>83.90000000000001</v>
      </c>
      <c r="L196" t="n">
        <v>671.2</v>
      </c>
    </row>
    <row r="197">
      <c r="A197" t="inlineStr">
        <is>
          <t>2026-07</t>
        </is>
      </c>
      <c r="B197" t="inlineStr">
        <is>
          <t>2026-07-23</t>
        </is>
      </c>
      <c r="C197" t="inlineStr">
        <is>
          <t>CC-CC003-0208</t>
        </is>
      </c>
      <c r="D197" t="inlineStr">
        <is>
          <t>TAM</t>
        </is>
      </c>
      <c r="E197" t="inlineStr">
        <is>
          <t>The Milk Ministry</t>
        </is>
      </c>
      <c r="F197" t="inlineStr">
        <is>
          <t>Fresh Milk</t>
        </is>
      </c>
      <c r="G197" t="inlineStr">
        <is>
          <t>Carton (12× 2,000ml Bottle)</t>
        </is>
      </c>
      <c r="H197" s="5" t="n">
        <v>8</v>
      </c>
      <c r="I197" s="5" t="n">
        <v>24000</v>
      </c>
      <c r="J197">
        <f>H197*I197</f>
        <v/>
      </c>
      <c r="K197" t="n">
        <v>83.90000000000001</v>
      </c>
      <c r="L197" t="n">
        <v>671.2</v>
      </c>
    </row>
    <row r="198">
      <c r="A198" t="inlineStr">
        <is>
          <t>2026-05</t>
        </is>
      </c>
      <c r="B198" t="inlineStr">
        <is>
          <t>2026-05-02</t>
        </is>
      </c>
      <c r="C198" t="inlineStr">
        <is>
          <t>CC-CC001-0054</t>
        </is>
      </c>
      <c r="D198" t="inlineStr">
        <is>
          <t>PJ</t>
        </is>
      </c>
      <c r="E198" t="inlineStr">
        <is>
          <t>Collective Project</t>
        </is>
      </c>
      <c r="F198" t="inlineStr">
        <is>
          <t>Home Blend (Collective)</t>
        </is>
      </c>
      <c r="G198" t="inlineStr">
        <is>
          <t>Kilogram (1000g)</t>
        </is>
      </c>
      <c r="H198" s="5" t="n">
        <v>30</v>
      </c>
      <c r="I198" s="5" t="n">
        <v>1000</v>
      </c>
      <c r="J198">
        <f>H198*I198</f>
        <v/>
      </c>
      <c r="K198" t="n">
        <v>93</v>
      </c>
      <c r="L198" t="n">
        <v>2790</v>
      </c>
    </row>
    <row r="199">
      <c r="A199" t="inlineStr">
        <is>
          <t>2026-05</t>
        </is>
      </c>
      <c r="B199" t="inlineStr">
        <is>
          <t>2026-05-02</t>
        </is>
      </c>
      <c r="C199" t="inlineStr">
        <is>
          <t>CC-CC002-0041</t>
        </is>
      </c>
      <c r="D199" t="inlineStr">
        <is>
          <t>SA</t>
        </is>
      </c>
      <c r="E199" t="inlineStr">
        <is>
          <t>Collective Project</t>
        </is>
      </c>
      <c r="F199" t="inlineStr">
        <is>
          <t>Home Blend (Collective)</t>
        </is>
      </c>
      <c r="G199" t="inlineStr">
        <is>
          <t>Kilogram (1000g)</t>
        </is>
      </c>
      <c r="H199" s="5" t="n">
        <v>30</v>
      </c>
      <c r="I199" s="5" t="n">
        <v>1000</v>
      </c>
      <c r="J199">
        <f>H199*I199</f>
        <v/>
      </c>
      <c r="K199" t="n">
        <v>93</v>
      </c>
      <c r="L199" t="n">
        <v>2790</v>
      </c>
    </row>
    <row r="200">
      <c r="A200" t="inlineStr">
        <is>
          <t>2026-05</t>
        </is>
      </c>
      <c r="B200" t="inlineStr">
        <is>
          <t>2026-05-02</t>
        </is>
      </c>
      <c r="C200" t="inlineStr">
        <is>
          <t>CC-CC003-0024</t>
        </is>
      </c>
      <c r="D200" t="inlineStr">
        <is>
          <t>TAM</t>
        </is>
      </c>
      <c r="E200" t="inlineStr">
        <is>
          <t>Collective Project</t>
        </is>
      </c>
      <c r="F200" t="inlineStr">
        <is>
          <t>Home Blend (Collective)</t>
        </is>
      </c>
      <c r="G200" t="inlineStr">
        <is>
          <t>Kilogram (1000g)</t>
        </is>
      </c>
      <c r="H200" s="5" t="n">
        <v>20</v>
      </c>
      <c r="I200" s="5" t="n">
        <v>1000</v>
      </c>
      <c r="J200">
        <f>H200*I200</f>
        <v/>
      </c>
      <c r="K200" t="n">
        <v>93</v>
      </c>
      <c r="L200" t="n">
        <v>1860</v>
      </c>
    </row>
    <row r="201">
      <c r="A201" t="inlineStr">
        <is>
          <t>2026-05</t>
        </is>
      </c>
      <c r="B201" t="inlineStr">
        <is>
          <t>2026-05-05</t>
        </is>
      </c>
      <c r="C201" t="inlineStr">
        <is>
          <t>CC-CC001-0077</t>
        </is>
      </c>
      <c r="D201" t="inlineStr">
        <is>
          <t>PJ</t>
        </is>
      </c>
      <c r="E201" t="inlineStr">
        <is>
          <t>Collective Project</t>
        </is>
      </c>
      <c r="F201" t="inlineStr">
        <is>
          <t>Home Blend (Collective)</t>
        </is>
      </c>
      <c r="G201" t="inlineStr">
        <is>
          <t>Kilogram (1000g)</t>
        </is>
      </c>
      <c r="H201" s="5" t="n">
        <v>30</v>
      </c>
      <c r="I201" s="5" t="n">
        <v>1000</v>
      </c>
      <c r="J201">
        <f>H201*I201</f>
        <v/>
      </c>
      <c r="K201" t="n">
        <v>93</v>
      </c>
      <c r="L201" t="n">
        <v>2790</v>
      </c>
    </row>
    <row r="202">
      <c r="A202" t="inlineStr">
        <is>
          <t>2026-05</t>
        </is>
      </c>
      <c r="B202" t="inlineStr">
        <is>
          <t>2026-05-05</t>
        </is>
      </c>
      <c r="C202" t="inlineStr">
        <is>
          <t>CC-CC003-0037</t>
        </is>
      </c>
      <c r="D202" t="inlineStr">
        <is>
          <t>TAM</t>
        </is>
      </c>
      <c r="E202" t="inlineStr">
        <is>
          <t>Collective Project</t>
        </is>
      </c>
      <c r="F202" t="inlineStr">
        <is>
          <t>Home Blend (Collective)</t>
        </is>
      </c>
      <c r="G202" t="inlineStr">
        <is>
          <t>Kilogram (1000g)</t>
        </is>
      </c>
      <c r="H202" s="5" t="n">
        <v>20</v>
      </c>
      <c r="I202" s="5" t="n">
        <v>1000</v>
      </c>
      <c r="J202">
        <f>H202*I202</f>
        <v/>
      </c>
      <c r="K202" t="n">
        <v>93</v>
      </c>
      <c r="L202" t="n">
        <v>1860</v>
      </c>
    </row>
    <row r="203">
      <c r="A203" t="inlineStr">
        <is>
          <t>2026-05</t>
        </is>
      </c>
      <c r="B203" t="inlineStr">
        <is>
          <t>2026-05-05</t>
        </is>
      </c>
      <c r="C203" t="inlineStr">
        <is>
          <t>CC-CC002-0059</t>
        </is>
      </c>
      <c r="D203" t="inlineStr">
        <is>
          <t>SA</t>
        </is>
      </c>
      <c r="E203" t="inlineStr">
        <is>
          <t>Collective Project</t>
        </is>
      </c>
      <c r="F203" t="inlineStr">
        <is>
          <t>Home Blend (Collective)</t>
        </is>
      </c>
      <c r="G203" t="inlineStr">
        <is>
          <t>Kilogram (1000g)</t>
        </is>
      </c>
      <c r="H203" s="5" t="n">
        <v>20</v>
      </c>
      <c r="I203" s="5" t="n">
        <v>1000</v>
      </c>
      <c r="J203">
        <f>H203*I203</f>
        <v/>
      </c>
      <c r="K203" t="n">
        <v>93</v>
      </c>
      <c r="L203" t="n">
        <v>1860</v>
      </c>
    </row>
    <row r="204">
      <c r="A204" t="inlineStr">
        <is>
          <t>2026-05</t>
        </is>
      </c>
      <c r="B204" t="inlineStr">
        <is>
          <t>2026-05-10</t>
        </is>
      </c>
      <c r="C204" t="inlineStr">
        <is>
          <t>CC-CC003-0047</t>
        </is>
      </c>
      <c r="D204" t="inlineStr">
        <is>
          <t>TAM</t>
        </is>
      </c>
      <c r="E204" t="inlineStr">
        <is>
          <t>Collective Project</t>
        </is>
      </c>
      <c r="F204" t="inlineStr">
        <is>
          <t>Home Blend (Collective)</t>
        </is>
      </c>
      <c r="G204" t="inlineStr">
        <is>
          <t>Kilogram (1000g)</t>
        </is>
      </c>
      <c r="H204" s="5" t="n">
        <v>20</v>
      </c>
      <c r="I204" s="5" t="n">
        <v>1000</v>
      </c>
      <c r="J204">
        <f>H204*I204</f>
        <v/>
      </c>
      <c r="K204" t="n">
        <v>93</v>
      </c>
      <c r="L204" t="n">
        <v>1860</v>
      </c>
    </row>
    <row r="205">
      <c r="A205" t="inlineStr">
        <is>
          <t>2026-05</t>
        </is>
      </c>
      <c r="B205" t="inlineStr">
        <is>
          <t>2026-05-10</t>
        </is>
      </c>
      <c r="C205" t="inlineStr">
        <is>
          <t>CC-CC001-0092</t>
        </is>
      </c>
      <c r="D205" t="inlineStr">
        <is>
          <t>PJ</t>
        </is>
      </c>
      <c r="E205" t="inlineStr">
        <is>
          <t>Collective Project</t>
        </is>
      </c>
      <c r="F205" t="inlineStr">
        <is>
          <t>Home Blend (Collective)</t>
        </is>
      </c>
      <c r="G205" t="inlineStr">
        <is>
          <t>Kilogram (1000g)</t>
        </is>
      </c>
      <c r="H205" s="5" t="n">
        <v>30</v>
      </c>
      <c r="I205" s="5" t="n">
        <v>1000</v>
      </c>
      <c r="J205">
        <f>H205*I205</f>
        <v/>
      </c>
      <c r="K205" t="n">
        <v>93</v>
      </c>
      <c r="L205" t="n">
        <v>2790</v>
      </c>
    </row>
    <row r="206">
      <c r="A206" t="inlineStr">
        <is>
          <t>2026-05</t>
        </is>
      </c>
      <c r="B206" t="inlineStr">
        <is>
          <t>2026-05-10</t>
        </is>
      </c>
      <c r="C206" t="inlineStr">
        <is>
          <t>CC-CC002-0073</t>
        </is>
      </c>
      <c r="D206" t="inlineStr">
        <is>
          <t>SA</t>
        </is>
      </c>
      <c r="E206" t="inlineStr">
        <is>
          <t>Collective Project</t>
        </is>
      </c>
      <c r="F206" t="inlineStr">
        <is>
          <t>Home Blend (Collective)</t>
        </is>
      </c>
      <c r="G206" t="inlineStr">
        <is>
          <t>Kilogram (1000g)</t>
        </is>
      </c>
      <c r="H206" s="5" t="n">
        <v>20</v>
      </c>
      <c r="I206" s="5" t="n">
        <v>1000</v>
      </c>
      <c r="J206">
        <f>H206*I206</f>
        <v/>
      </c>
      <c r="K206" t="n">
        <v>93</v>
      </c>
      <c r="L206" t="n">
        <v>1860</v>
      </c>
    </row>
    <row r="207">
      <c r="A207" t="inlineStr">
        <is>
          <t>2026-05</t>
        </is>
      </c>
      <c r="B207" t="inlineStr">
        <is>
          <t>2026-05-10</t>
        </is>
      </c>
      <c r="C207" t="inlineStr">
        <is>
          <t>CC-CC001-0097</t>
        </is>
      </c>
      <c r="D207" t="inlineStr">
        <is>
          <t>PJ</t>
        </is>
      </c>
      <c r="E207" t="inlineStr">
        <is>
          <t>Collective Project</t>
        </is>
      </c>
      <c r="F207" t="inlineStr">
        <is>
          <t>Home Blend (Collective)</t>
        </is>
      </c>
      <c r="G207" t="inlineStr">
        <is>
          <t>Kilogram (1000g)</t>
        </is>
      </c>
      <c r="H207" s="5" t="n">
        <v>30</v>
      </c>
      <c r="I207" s="5" t="n">
        <v>1000</v>
      </c>
      <c r="J207">
        <f>H207*I207</f>
        <v/>
      </c>
      <c r="K207" t="n">
        <v>93</v>
      </c>
      <c r="L207" t="n">
        <v>2790</v>
      </c>
    </row>
    <row r="208">
      <c r="A208" t="inlineStr">
        <is>
          <t>2026-05</t>
        </is>
      </c>
      <c r="B208" t="inlineStr">
        <is>
          <t>2026-05-10</t>
        </is>
      </c>
      <c r="C208" t="inlineStr">
        <is>
          <t>CC-CC002-0078</t>
        </is>
      </c>
      <c r="D208" t="inlineStr">
        <is>
          <t>SA</t>
        </is>
      </c>
      <c r="E208" t="inlineStr">
        <is>
          <t>Collective Project</t>
        </is>
      </c>
      <c r="F208" t="inlineStr">
        <is>
          <t>Home Blend (Collective)</t>
        </is>
      </c>
      <c r="G208" t="inlineStr">
        <is>
          <t>Kilogram (1000g)</t>
        </is>
      </c>
      <c r="H208" s="5" t="n">
        <v>30</v>
      </c>
      <c r="I208" s="5" t="n">
        <v>1000</v>
      </c>
      <c r="J208">
        <f>H208*I208</f>
        <v/>
      </c>
      <c r="K208" t="n">
        <v>93</v>
      </c>
      <c r="L208" t="n">
        <v>2790</v>
      </c>
    </row>
    <row r="209">
      <c r="A209" t="inlineStr">
        <is>
          <t>2026-05</t>
        </is>
      </c>
      <c r="B209" t="inlineStr">
        <is>
          <t>2026-05-10</t>
        </is>
      </c>
      <c r="C209" t="inlineStr">
        <is>
          <t>CC-CC003-0051</t>
        </is>
      </c>
      <c r="D209" t="inlineStr">
        <is>
          <t>TAM</t>
        </is>
      </c>
      <c r="E209" t="inlineStr">
        <is>
          <t>Collective Project</t>
        </is>
      </c>
      <c r="F209" t="inlineStr">
        <is>
          <t>Home Blend (Collective)</t>
        </is>
      </c>
      <c r="G209" t="inlineStr">
        <is>
          <t>Kilogram (1000g)</t>
        </is>
      </c>
      <c r="H209" s="5" t="n">
        <v>20</v>
      </c>
      <c r="I209" s="5" t="n">
        <v>1000</v>
      </c>
      <c r="J209">
        <f>H209*I209</f>
        <v/>
      </c>
      <c r="K209" t="n">
        <v>93</v>
      </c>
      <c r="L209" t="n">
        <v>1860</v>
      </c>
    </row>
    <row r="210">
      <c r="A210" t="inlineStr">
        <is>
          <t>2026-05</t>
        </is>
      </c>
      <c r="B210" t="inlineStr">
        <is>
          <t>2026-05-17</t>
        </is>
      </c>
      <c r="C210" t="inlineStr">
        <is>
          <t>CC-CC001-0129</t>
        </is>
      </c>
      <c r="D210" t="inlineStr">
        <is>
          <t>PJ</t>
        </is>
      </c>
      <c r="E210" t="inlineStr">
        <is>
          <t>Collective Project</t>
        </is>
      </c>
      <c r="F210" t="inlineStr">
        <is>
          <t>Home Blend (Collective)</t>
        </is>
      </c>
      <c r="G210" t="inlineStr">
        <is>
          <t>Kilogram (1000g)</t>
        </is>
      </c>
      <c r="H210" s="5" t="n">
        <v>30</v>
      </c>
      <c r="I210" s="5" t="n">
        <v>1000</v>
      </c>
      <c r="J210">
        <f>H210*I210</f>
        <v/>
      </c>
      <c r="K210" t="n">
        <v>93</v>
      </c>
      <c r="L210" t="n">
        <v>2790</v>
      </c>
    </row>
    <row r="211">
      <c r="A211" t="inlineStr">
        <is>
          <t>2026-05</t>
        </is>
      </c>
      <c r="B211" t="inlineStr">
        <is>
          <t>2026-05-17</t>
        </is>
      </c>
      <c r="C211" t="inlineStr">
        <is>
          <t>CC-CC002-0112</t>
        </is>
      </c>
      <c r="D211" t="inlineStr">
        <is>
          <t>SA</t>
        </is>
      </c>
      <c r="E211" t="inlineStr">
        <is>
          <t>Collective Project</t>
        </is>
      </c>
      <c r="F211" t="inlineStr">
        <is>
          <t>Home Blend (Collective)</t>
        </is>
      </c>
      <c r="G211" t="inlineStr">
        <is>
          <t>Kilogram (1000g)</t>
        </is>
      </c>
      <c r="H211" s="5" t="n">
        <v>30</v>
      </c>
      <c r="I211" s="5" t="n">
        <v>1000</v>
      </c>
      <c r="J211">
        <f>H211*I211</f>
        <v/>
      </c>
      <c r="K211" t="n">
        <v>93</v>
      </c>
      <c r="L211" t="n">
        <v>2790</v>
      </c>
    </row>
    <row r="212">
      <c r="A212" t="inlineStr">
        <is>
          <t>2026-05</t>
        </is>
      </c>
      <c r="B212" t="inlineStr">
        <is>
          <t>2026-05-17</t>
        </is>
      </c>
      <c r="C212" t="inlineStr">
        <is>
          <t>CC-CC003-0077</t>
        </is>
      </c>
      <c r="D212" t="inlineStr">
        <is>
          <t>TAM</t>
        </is>
      </c>
      <c r="E212" t="inlineStr">
        <is>
          <t>Collective Project</t>
        </is>
      </c>
      <c r="F212" t="inlineStr">
        <is>
          <t>Home Blend (Collective)</t>
        </is>
      </c>
      <c r="G212" t="inlineStr">
        <is>
          <t>Kilogram (1000g)</t>
        </is>
      </c>
      <c r="H212" s="5" t="n">
        <v>25</v>
      </c>
      <c r="I212" s="5" t="n">
        <v>1000</v>
      </c>
      <c r="J212">
        <f>H212*I212</f>
        <v/>
      </c>
      <c r="K212" t="n">
        <v>93</v>
      </c>
      <c r="L212" t="n">
        <v>2325</v>
      </c>
    </row>
    <row r="213">
      <c r="A213" t="inlineStr">
        <is>
          <t>2026-05</t>
        </is>
      </c>
      <c r="B213" t="inlineStr">
        <is>
          <t>2026-05-24</t>
        </is>
      </c>
      <c r="C213" t="inlineStr">
        <is>
          <t>CC-CC001-0142</t>
        </is>
      </c>
      <c r="D213" t="inlineStr">
        <is>
          <t>PJ</t>
        </is>
      </c>
      <c r="E213" t="inlineStr">
        <is>
          <t>Collective Project</t>
        </is>
      </c>
      <c r="F213" t="inlineStr">
        <is>
          <t>Home Blend (Collective)</t>
        </is>
      </c>
      <c r="G213" t="inlineStr">
        <is>
          <t>Kilogram (1000g)</t>
        </is>
      </c>
      <c r="H213" s="5" t="n">
        <v>30</v>
      </c>
      <c r="I213" s="5" t="n">
        <v>1000</v>
      </c>
      <c r="J213">
        <f>H213*I213</f>
        <v/>
      </c>
      <c r="K213" t="n">
        <v>93</v>
      </c>
      <c r="L213" t="n">
        <v>2790</v>
      </c>
    </row>
    <row r="214">
      <c r="A214" t="inlineStr">
        <is>
          <t>2026-05</t>
        </is>
      </c>
      <c r="B214" t="inlineStr">
        <is>
          <t>2026-05-24</t>
        </is>
      </c>
      <c r="C214" t="inlineStr">
        <is>
          <t>CC-CC002-0134</t>
        </is>
      </c>
      <c r="D214" t="inlineStr">
        <is>
          <t>SA</t>
        </is>
      </c>
      <c r="E214" t="inlineStr">
        <is>
          <t>Collective Project</t>
        </is>
      </c>
      <c r="F214" t="inlineStr">
        <is>
          <t>Home Blend (Collective)</t>
        </is>
      </c>
      <c r="G214" t="inlineStr">
        <is>
          <t>Kilogram (1000g)</t>
        </is>
      </c>
      <c r="H214" s="5" t="n">
        <v>20</v>
      </c>
      <c r="I214" s="5" t="n">
        <v>1000</v>
      </c>
      <c r="J214">
        <f>H214*I214</f>
        <v/>
      </c>
      <c r="K214" t="n">
        <v>93</v>
      </c>
      <c r="L214" t="n">
        <v>1860</v>
      </c>
    </row>
    <row r="215">
      <c r="A215" t="inlineStr">
        <is>
          <t>2026-05</t>
        </is>
      </c>
      <c r="B215" t="inlineStr">
        <is>
          <t>2026-05-24</t>
        </is>
      </c>
      <c r="C215" t="inlineStr">
        <is>
          <t>CC-CC003-0093</t>
        </is>
      </c>
      <c r="D215" t="inlineStr">
        <is>
          <t>TAM</t>
        </is>
      </c>
      <c r="E215" t="inlineStr">
        <is>
          <t>Collective Project</t>
        </is>
      </c>
      <c r="F215" t="inlineStr">
        <is>
          <t>Home Blend (Collective)</t>
        </is>
      </c>
      <c r="G215" t="inlineStr">
        <is>
          <t>Kilogram (1000g)</t>
        </is>
      </c>
      <c r="H215" s="5" t="n">
        <v>20</v>
      </c>
      <c r="I215" s="5" t="n">
        <v>1000</v>
      </c>
      <c r="J215">
        <f>H215*I215</f>
        <v/>
      </c>
      <c r="K215" t="n">
        <v>93</v>
      </c>
      <c r="L215" t="n">
        <v>1860</v>
      </c>
    </row>
    <row r="216">
      <c r="A216" t="inlineStr">
        <is>
          <t>2026-06</t>
        </is>
      </c>
      <c r="B216" t="inlineStr">
        <is>
          <t>2026-06-01</t>
        </is>
      </c>
      <c r="C216" t="inlineStr">
        <is>
          <t>CC-CC001-0173</t>
        </is>
      </c>
      <c r="D216" t="inlineStr">
        <is>
          <t>PJ</t>
        </is>
      </c>
      <c r="E216" t="inlineStr">
        <is>
          <t xml:space="preserve"> CARRIE COFFEE ROASTERY</t>
        </is>
      </c>
      <c r="F216" t="inlineStr">
        <is>
          <t>Home Blend (Collective)</t>
        </is>
      </c>
      <c r="G216" t="inlineStr">
        <is>
          <t>Kilogram (1000g)</t>
        </is>
      </c>
      <c r="H216" s="5" t="n">
        <v>12</v>
      </c>
      <c r="I216" s="5" t="n">
        <v>1000</v>
      </c>
      <c r="J216">
        <f>H216*I216</f>
        <v/>
      </c>
      <c r="K216" t="n">
        <v>85</v>
      </c>
      <c r="L216" t="n">
        <v>1020</v>
      </c>
    </row>
    <row r="217">
      <c r="A217" t="inlineStr">
        <is>
          <t>2026-06</t>
        </is>
      </c>
      <c r="B217" t="inlineStr">
        <is>
          <t>2026-06-01</t>
        </is>
      </c>
      <c r="C217" t="inlineStr">
        <is>
          <t>CC-CC003-0117</t>
        </is>
      </c>
      <c r="D217" t="inlineStr">
        <is>
          <t>TAM</t>
        </is>
      </c>
      <c r="E217" t="inlineStr">
        <is>
          <t xml:space="preserve"> CARRIE COFFEE ROASTERY</t>
        </is>
      </c>
      <c r="F217" t="inlineStr">
        <is>
          <t>Home Blend (Collective)</t>
        </is>
      </c>
      <c r="G217" t="inlineStr">
        <is>
          <t>Kilogram (1000g)</t>
        </is>
      </c>
      <c r="H217" s="5" t="n">
        <v>8</v>
      </c>
      <c r="I217" s="5" t="n">
        <v>1000</v>
      </c>
      <c r="J217">
        <f>H217*I217</f>
        <v/>
      </c>
      <c r="K217" t="n">
        <v>85</v>
      </c>
      <c r="L217" t="n">
        <v>680</v>
      </c>
    </row>
    <row r="218">
      <c r="A218" t="inlineStr">
        <is>
          <t>2026-06</t>
        </is>
      </c>
      <c r="B218" t="inlineStr">
        <is>
          <t>2026-06-01</t>
        </is>
      </c>
      <c r="C218" t="inlineStr">
        <is>
          <t>CC-CC002-0164</t>
        </is>
      </c>
      <c r="D218" t="inlineStr">
        <is>
          <t>SA</t>
        </is>
      </c>
      <c r="E218" t="inlineStr">
        <is>
          <t xml:space="preserve"> CARRIE COFFEE ROASTERY</t>
        </is>
      </c>
      <c r="F218" t="inlineStr">
        <is>
          <t>Home Blend (Collective)</t>
        </is>
      </c>
      <c r="G218" t="inlineStr">
        <is>
          <t>Kilogram (1000g)</t>
        </is>
      </c>
      <c r="H218" s="5" t="n">
        <v>4</v>
      </c>
      <c r="I218" s="5" t="n">
        <v>1000</v>
      </c>
      <c r="J218">
        <f>H218*I218</f>
        <v/>
      </c>
      <c r="K218" t="n">
        <v>85</v>
      </c>
      <c r="L218" t="n">
        <v>340</v>
      </c>
    </row>
    <row r="219">
      <c r="A219" t="inlineStr">
        <is>
          <t>2026-06</t>
        </is>
      </c>
      <c r="B219" t="inlineStr">
        <is>
          <t>2026-06-02</t>
        </is>
      </c>
      <c r="C219" t="inlineStr">
        <is>
          <t>CC-CC001-0174</t>
        </is>
      </c>
      <c r="D219" t="inlineStr">
        <is>
          <t>PJ</t>
        </is>
      </c>
      <c r="E219" t="inlineStr">
        <is>
          <t>Collective Project</t>
        </is>
      </c>
      <c r="F219" t="inlineStr">
        <is>
          <t>Home Blend (Collective)</t>
        </is>
      </c>
      <c r="G219" t="inlineStr">
        <is>
          <t>Kilogram (1000g)</t>
        </is>
      </c>
      <c r="H219" s="5" t="n">
        <v>30</v>
      </c>
      <c r="I219" s="5" t="n">
        <v>1000</v>
      </c>
      <c r="J219">
        <f>H219*I219</f>
        <v/>
      </c>
      <c r="K219" t="n">
        <v>93</v>
      </c>
      <c r="L219" t="n">
        <v>2790</v>
      </c>
    </row>
    <row r="220">
      <c r="A220" t="inlineStr">
        <is>
          <t>2026-06</t>
        </is>
      </c>
      <c r="B220" t="inlineStr">
        <is>
          <t>2026-06-02</t>
        </is>
      </c>
      <c r="C220" t="inlineStr">
        <is>
          <t>CC-CC002-0165</t>
        </is>
      </c>
      <c r="D220" t="inlineStr">
        <is>
          <t>SA</t>
        </is>
      </c>
      <c r="E220" t="inlineStr">
        <is>
          <t>Collective Project</t>
        </is>
      </c>
      <c r="F220" t="inlineStr">
        <is>
          <t>Home Blend (Collective)</t>
        </is>
      </c>
      <c r="G220" t="inlineStr">
        <is>
          <t>Kilogram (1000g)</t>
        </is>
      </c>
      <c r="H220" s="5" t="n">
        <v>25</v>
      </c>
      <c r="I220" s="5" t="n">
        <v>1000</v>
      </c>
      <c r="J220">
        <f>H220*I220</f>
        <v/>
      </c>
      <c r="K220" t="n">
        <v>93</v>
      </c>
      <c r="L220" t="n">
        <v>2325</v>
      </c>
    </row>
    <row r="221">
      <c r="A221" t="inlineStr">
        <is>
          <t>2026-06</t>
        </is>
      </c>
      <c r="B221" t="inlineStr">
        <is>
          <t>2026-06-02</t>
        </is>
      </c>
      <c r="C221" t="inlineStr">
        <is>
          <t>CC-CC003-0118</t>
        </is>
      </c>
      <c r="D221" t="inlineStr">
        <is>
          <t>TAM</t>
        </is>
      </c>
      <c r="E221" t="inlineStr">
        <is>
          <t>Collective Project</t>
        </is>
      </c>
      <c r="F221" t="inlineStr">
        <is>
          <t>Home Blend (Collective)</t>
        </is>
      </c>
      <c r="G221" t="inlineStr">
        <is>
          <t>Kilogram (1000g)</t>
        </is>
      </c>
      <c r="H221" s="5" t="n">
        <v>20</v>
      </c>
      <c r="I221" s="5" t="n">
        <v>1000</v>
      </c>
      <c r="J221">
        <f>H221*I221</f>
        <v/>
      </c>
      <c r="K221" t="n">
        <v>93</v>
      </c>
      <c r="L221" t="n">
        <v>1860</v>
      </c>
    </row>
    <row r="222">
      <c r="A222" t="inlineStr">
        <is>
          <t>2026-06</t>
        </is>
      </c>
      <c r="B222" t="inlineStr">
        <is>
          <t>2026-06-18</t>
        </is>
      </c>
      <c r="C222" t="inlineStr">
        <is>
          <t>CC-CC002-0203</t>
        </is>
      </c>
      <c r="D222" t="inlineStr">
        <is>
          <t>SA</t>
        </is>
      </c>
      <c r="E222" t="inlineStr">
        <is>
          <t>Collective Project</t>
        </is>
      </c>
      <c r="F222" t="inlineStr">
        <is>
          <t>Home Blend (Collective)</t>
        </is>
      </c>
      <c r="G222" t="inlineStr">
        <is>
          <t>Kilogram (1000g)</t>
        </is>
      </c>
      <c r="H222" s="5" t="n">
        <v>25</v>
      </c>
      <c r="I222" s="5" t="n">
        <v>1000</v>
      </c>
      <c r="J222">
        <f>H222*I222</f>
        <v/>
      </c>
      <c r="K222" t="n">
        <v>93</v>
      </c>
      <c r="L222" t="n">
        <v>2325</v>
      </c>
    </row>
    <row r="223">
      <c r="A223" t="inlineStr">
        <is>
          <t>2026-06</t>
        </is>
      </c>
      <c r="B223" t="inlineStr">
        <is>
          <t>2026-06-18</t>
        </is>
      </c>
      <c r="C223" t="inlineStr">
        <is>
          <t>CC-CC001-0219</t>
        </is>
      </c>
      <c r="D223" t="inlineStr">
        <is>
          <t>PJ</t>
        </is>
      </c>
      <c r="E223" t="inlineStr">
        <is>
          <t>Collective Project</t>
        </is>
      </c>
      <c r="F223" t="inlineStr">
        <is>
          <t>Home Blend (Collective)</t>
        </is>
      </c>
      <c r="G223" t="inlineStr">
        <is>
          <t>Kilogram (1000g)</t>
        </is>
      </c>
      <c r="H223" s="5" t="n">
        <v>30</v>
      </c>
      <c r="I223" s="5" t="n">
        <v>1000</v>
      </c>
      <c r="J223">
        <f>H223*I223</f>
        <v/>
      </c>
      <c r="K223" t="n">
        <v>93</v>
      </c>
      <c r="L223" t="n">
        <v>2790</v>
      </c>
    </row>
    <row r="224">
      <c r="A224" t="inlineStr">
        <is>
          <t>2026-06</t>
        </is>
      </c>
      <c r="B224" t="inlineStr">
        <is>
          <t>2026-06-18</t>
        </is>
      </c>
      <c r="C224" t="inlineStr">
        <is>
          <t>CC-CC003-0142</t>
        </is>
      </c>
      <c r="D224" t="inlineStr">
        <is>
          <t>TAM</t>
        </is>
      </c>
      <c r="E224" t="inlineStr">
        <is>
          <t>Collective Project</t>
        </is>
      </c>
      <c r="F224" t="inlineStr">
        <is>
          <t>Home Blend (Collective)</t>
        </is>
      </c>
      <c r="G224" t="inlineStr">
        <is>
          <t>Kilogram (1000g)</t>
        </is>
      </c>
      <c r="H224" s="5" t="n">
        <v>20</v>
      </c>
      <c r="I224" s="5" t="n">
        <v>1000</v>
      </c>
      <c r="J224">
        <f>H224*I224</f>
        <v/>
      </c>
      <c r="K224" t="n">
        <v>93</v>
      </c>
      <c r="L224" t="n">
        <v>1860</v>
      </c>
    </row>
    <row r="225">
      <c r="A225" t="inlineStr">
        <is>
          <t>2026-06</t>
        </is>
      </c>
      <c r="B225" t="inlineStr">
        <is>
          <t>2026-06-21</t>
        </is>
      </c>
      <c r="C225" t="inlineStr">
        <is>
          <t>CC-CC001-0232</t>
        </is>
      </c>
      <c r="D225" t="inlineStr">
        <is>
          <t>PJ</t>
        </is>
      </c>
      <c r="E225" t="inlineStr">
        <is>
          <t>Collective Project</t>
        </is>
      </c>
      <c r="F225" t="inlineStr">
        <is>
          <t>Home Blend (Collective)</t>
        </is>
      </c>
      <c r="G225" t="inlineStr">
        <is>
          <t>Kilogram (1000g)</t>
        </is>
      </c>
      <c r="H225" s="5" t="n">
        <v>30</v>
      </c>
      <c r="I225" s="5" t="n">
        <v>1000</v>
      </c>
      <c r="J225">
        <f>H225*I225</f>
        <v/>
      </c>
      <c r="K225" t="n">
        <v>93</v>
      </c>
      <c r="L225" t="n">
        <v>2790</v>
      </c>
    </row>
    <row r="226">
      <c r="A226" t="inlineStr">
        <is>
          <t>2026-06</t>
        </is>
      </c>
      <c r="B226" t="inlineStr">
        <is>
          <t>2026-06-21</t>
        </is>
      </c>
      <c r="C226" t="inlineStr">
        <is>
          <t>CC-CC002-0221</t>
        </is>
      </c>
      <c r="D226" t="inlineStr">
        <is>
          <t>SA</t>
        </is>
      </c>
      <c r="E226" t="inlineStr">
        <is>
          <t>Collective Project</t>
        </is>
      </c>
      <c r="F226" t="inlineStr">
        <is>
          <t>Home Blend (Collective)</t>
        </is>
      </c>
      <c r="G226" t="inlineStr">
        <is>
          <t>Kilogram (1000g)</t>
        </is>
      </c>
      <c r="H226" s="5" t="n">
        <v>25</v>
      </c>
      <c r="I226" s="5" t="n">
        <v>1000</v>
      </c>
      <c r="J226">
        <f>H226*I226</f>
        <v/>
      </c>
      <c r="K226" t="n">
        <v>93</v>
      </c>
      <c r="L226" t="n">
        <v>2325</v>
      </c>
    </row>
    <row r="227">
      <c r="A227" t="inlineStr">
        <is>
          <t>2026-06</t>
        </is>
      </c>
      <c r="B227" t="inlineStr">
        <is>
          <t>2026-06-21</t>
        </is>
      </c>
      <c r="C227" t="inlineStr">
        <is>
          <t>CC-CC003-0152</t>
        </is>
      </c>
      <c r="D227" t="inlineStr">
        <is>
          <t>TAM</t>
        </is>
      </c>
      <c r="E227" t="inlineStr">
        <is>
          <t>Collective Project</t>
        </is>
      </c>
      <c r="F227" t="inlineStr">
        <is>
          <t>Home Blend (Collective)</t>
        </is>
      </c>
      <c r="G227" t="inlineStr">
        <is>
          <t>Kilogram (1000g)</t>
        </is>
      </c>
      <c r="H227" s="5" t="n">
        <v>20</v>
      </c>
      <c r="I227" s="5" t="n">
        <v>1000</v>
      </c>
      <c r="J227">
        <f>H227*I227</f>
        <v/>
      </c>
      <c r="K227" t="n">
        <v>93</v>
      </c>
      <c r="L227" t="n">
        <v>1860</v>
      </c>
    </row>
    <row r="228">
      <c r="A228" t="inlineStr">
        <is>
          <t>2026-06</t>
        </is>
      </c>
      <c r="B228" t="inlineStr">
        <is>
          <t>2026-06-29</t>
        </is>
      </c>
      <c r="C228" t="inlineStr">
        <is>
          <t>CC-CC001-0242</t>
        </is>
      </c>
      <c r="D228" t="inlineStr">
        <is>
          <t>PJ</t>
        </is>
      </c>
      <c r="E228" t="inlineStr">
        <is>
          <t>Collective Project</t>
        </is>
      </c>
      <c r="F228" t="inlineStr">
        <is>
          <t>Home Blend (Collective)</t>
        </is>
      </c>
      <c r="G228" t="inlineStr">
        <is>
          <t>Kilogram (1000g)</t>
        </is>
      </c>
      <c r="H228" s="5" t="n">
        <v>30</v>
      </c>
      <c r="I228" s="5" t="n">
        <v>1000</v>
      </c>
      <c r="J228">
        <f>H228*I228</f>
        <v/>
      </c>
      <c r="K228" t="n">
        <v>93</v>
      </c>
      <c r="L228" t="n">
        <v>2790</v>
      </c>
    </row>
    <row r="229">
      <c r="A229" t="inlineStr">
        <is>
          <t>2026-06</t>
        </is>
      </c>
      <c r="B229" t="inlineStr">
        <is>
          <t>2026-06-29</t>
        </is>
      </c>
      <c r="C229" t="inlineStr">
        <is>
          <t>CC-CC002-0231</t>
        </is>
      </c>
      <c r="D229" t="inlineStr">
        <is>
          <t>SA</t>
        </is>
      </c>
      <c r="E229" t="inlineStr">
        <is>
          <t>Collective Project</t>
        </is>
      </c>
      <c r="F229" t="inlineStr">
        <is>
          <t>Home Blend (Collective)</t>
        </is>
      </c>
      <c r="G229" t="inlineStr">
        <is>
          <t>Kilogram (1000g)</t>
        </is>
      </c>
      <c r="H229" s="5" t="n">
        <v>25</v>
      </c>
      <c r="I229" s="5" t="n">
        <v>1000</v>
      </c>
      <c r="J229">
        <f>H229*I229</f>
        <v/>
      </c>
      <c r="K229" t="n">
        <v>93</v>
      </c>
      <c r="L229" t="n">
        <v>2325</v>
      </c>
    </row>
    <row r="230">
      <c r="A230" t="inlineStr">
        <is>
          <t>2026-06</t>
        </is>
      </c>
      <c r="B230" t="inlineStr">
        <is>
          <t>2026-06-29</t>
        </is>
      </c>
      <c r="C230" t="inlineStr">
        <is>
          <t>CC-CC003-0158</t>
        </is>
      </c>
      <c r="D230" t="inlineStr">
        <is>
          <t>TAM</t>
        </is>
      </c>
      <c r="E230" t="inlineStr">
        <is>
          <t>Collective Project</t>
        </is>
      </c>
      <c r="F230" t="inlineStr">
        <is>
          <t>Home Blend (Collective)</t>
        </is>
      </c>
      <c r="G230" t="inlineStr">
        <is>
          <t>Kilogram (1000g)</t>
        </is>
      </c>
      <c r="H230" s="5" t="n">
        <v>20</v>
      </c>
      <c r="I230" s="5" t="n">
        <v>1000</v>
      </c>
      <c r="J230">
        <f>H230*I230</f>
        <v/>
      </c>
      <c r="K230" t="n">
        <v>93</v>
      </c>
      <c r="L230" t="n">
        <v>1860</v>
      </c>
    </row>
    <row r="231">
      <c r="A231" t="inlineStr">
        <is>
          <t>2026-07</t>
        </is>
      </c>
      <c r="B231" t="inlineStr">
        <is>
          <t>2026-07-05</t>
        </is>
      </c>
      <c r="C231" t="inlineStr">
        <is>
          <t>CC-CC001-0265</t>
        </is>
      </c>
      <c r="D231" t="inlineStr">
        <is>
          <t>PJ</t>
        </is>
      </c>
      <c r="E231" t="inlineStr">
        <is>
          <t>Collective Project</t>
        </is>
      </c>
      <c r="F231" t="inlineStr">
        <is>
          <t>Home Blend (Collective)</t>
        </is>
      </c>
      <c r="G231" t="inlineStr">
        <is>
          <t>Kilogram (1000g)</t>
        </is>
      </c>
      <c r="H231" s="5" t="n">
        <v>30</v>
      </c>
      <c r="I231" s="5" t="n">
        <v>1000</v>
      </c>
      <c r="J231">
        <f>H231*I231</f>
        <v/>
      </c>
      <c r="K231" t="n">
        <v>93</v>
      </c>
      <c r="L231" t="n">
        <v>2790</v>
      </c>
    </row>
    <row r="232">
      <c r="A232" t="inlineStr">
        <is>
          <t>2026-07</t>
        </is>
      </c>
      <c r="B232" t="inlineStr">
        <is>
          <t>2026-07-05</t>
        </is>
      </c>
      <c r="C232" t="inlineStr">
        <is>
          <t>CC-CC002-0253</t>
        </is>
      </c>
      <c r="D232" t="inlineStr">
        <is>
          <t>SA</t>
        </is>
      </c>
      <c r="E232" t="inlineStr">
        <is>
          <t>Collective Project</t>
        </is>
      </c>
      <c r="F232" t="inlineStr">
        <is>
          <t>Home Blend (Collective)</t>
        </is>
      </c>
      <c r="G232" t="inlineStr">
        <is>
          <t>Kilogram (1000g)</t>
        </is>
      </c>
      <c r="H232" s="5" t="n">
        <v>23</v>
      </c>
      <c r="I232" s="5" t="n">
        <v>1000</v>
      </c>
      <c r="J232">
        <f>H232*I232</f>
        <v/>
      </c>
      <c r="K232" t="n">
        <v>93</v>
      </c>
      <c r="L232" t="n">
        <v>2139</v>
      </c>
    </row>
    <row r="233">
      <c r="A233" t="inlineStr">
        <is>
          <t>2026-07</t>
        </is>
      </c>
      <c r="B233" t="inlineStr">
        <is>
          <t>2026-07-05</t>
        </is>
      </c>
      <c r="C233" t="inlineStr">
        <is>
          <t>CC-CC003-0175</t>
        </is>
      </c>
      <c r="D233" t="inlineStr">
        <is>
          <t>TAM</t>
        </is>
      </c>
      <c r="E233" t="inlineStr">
        <is>
          <t>Collective Project</t>
        </is>
      </c>
      <c r="F233" t="inlineStr">
        <is>
          <t>Home Blend (Collective)</t>
        </is>
      </c>
      <c r="G233" t="inlineStr">
        <is>
          <t>Kilogram (1000g)</t>
        </is>
      </c>
      <c r="H233" s="5" t="n">
        <v>20</v>
      </c>
      <c r="I233" s="5" t="n">
        <v>1000</v>
      </c>
      <c r="J233">
        <f>H233*I233</f>
        <v/>
      </c>
      <c r="K233" t="n">
        <v>93</v>
      </c>
      <c r="L233" t="n">
        <v>1860</v>
      </c>
    </row>
    <row r="234">
      <c r="A234" t="inlineStr">
        <is>
          <t>2026-07</t>
        </is>
      </c>
      <c r="B234" t="inlineStr">
        <is>
          <t>2026-07-14</t>
        </is>
      </c>
      <c r="C234" t="inlineStr">
        <is>
          <t>CC-CC001-0292</t>
        </is>
      </c>
      <c r="D234" t="inlineStr">
        <is>
          <t>PJ</t>
        </is>
      </c>
      <c r="E234" t="inlineStr">
        <is>
          <t>Collective Project</t>
        </is>
      </c>
      <c r="F234" t="inlineStr">
        <is>
          <t>Home Blend (Collective)</t>
        </is>
      </c>
      <c r="G234" t="inlineStr">
        <is>
          <t>Kilogram (1000g)</t>
        </is>
      </c>
      <c r="H234" s="5" t="n">
        <v>35</v>
      </c>
      <c r="I234" s="5" t="n">
        <v>1000</v>
      </c>
      <c r="J234">
        <f>H234*I234</f>
        <v/>
      </c>
      <c r="K234" t="n">
        <v>93</v>
      </c>
      <c r="L234" t="n">
        <v>3255</v>
      </c>
    </row>
    <row r="235">
      <c r="A235" t="inlineStr">
        <is>
          <t>2026-07</t>
        </is>
      </c>
      <c r="B235" t="inlineStr">
        <is>
          <t>2026-07-14</t>
        </is>
      </c>
      <c r="C235" t="inlineStr">
        <is>
          <t>CC-CC002-0273</t>
        </is>
      </c>
      <c r="D235" t="inlineStr">
        <is>
          <t>SA</t>
        </is>
      </c>
      <c r="E235" t="inlineStr">
        <is>
          <t>Collective Project</t>
        </is>
      </c>
      <c r="F235" t="inlineStr">
        <is>
          <t>Home Blend (Collective)</t>
        </is>
      </c>
      <c r="G235" t="inlineStr">
        <is>
          <t>Kilogram (1000g)</t>
        </is>
      </c>
      <c r="H235" s="5" t="n">
        <v>30</v>
      </c>
      <c r="I235" s="5" t="n">
        <v>1000</v>
      </c>
      <c r="J235">
        <f>H235*I235</f>
        <v/>
      </c>
      <c r="K235" t="n">
        <v>93</v>
      </c>
      <c r="L235" t="n">
        <v>2790</v>
      </c>
    </row>
    <row r="236">
      <c r="A236" t="inlineStr">
        <is>
          <t>2026-07</t>
        </is>
      </c>
      <c r="B236" t="inlineStr">
        <is>
          <t>2026-07-14</t>
        </is>
      </c>
      <c r="C236" t="inlineStr">
        <is>
          <t>CC-CC003-0191</t>
        </is>
      </c>
      <c r="D236" t="inlineStr">
        <is>
          <t>TAM</t>
        </is>
      </c>
      <c r="E236" t="inlineStr">
        <is>
          <t>Collective Project</t>
        </is>
      </c>
      <c r="F236" t="inlineStr">
        <is>
          <t>Home Blend (Collective)</t>
        </is>
      </c>
      <c r="G236" t="inlineStr">
        <is>
          <t>Kilogram (1000g)</t>
        </is>
      </c>
      <c r="H236" s="5" t="n">
        <v>25</v>
      </c>
      <c r="I236" s="5" t="n">
        <v>1000</v>
      </c>
      <c r="J236">
        <f>H236*I236</f>
        <v/>
      </c>
      <c r="K236" t="n">
        <v>93</v>
      </c>
      <c r="L236" t="n">
        <v>2325</v>
      </c>
    </row>
    <row r="237">
      <c r="A237" t="inlineStr">
        <is>
          <t>2026-07</t>
        </is>
      </c>
      <c r="B237" t="inlineStr">
        <is>
          <t>2026-07-26</t>
        </is>
      </c>
      <c r="C237" t="inlineStr">
        <is>
          <t>CC-CC001-0326</t>
        </is>
      </c>
      <c r="D237" t="inlineStr">
        <is>
          <t>PJ</t>
        </is>
      </c>
      <c r="E237" t="inlineStr">
        <is>
          <t>Collective Project</t>
        </is>
      </c>
      <c r="F237" t="inlineStr">
        <is>
          <t>Home Blend (Collective)</t>
        </is>
      </c>
      <c r="G237" t="inlineStr">
        <is>
          <t>Kilogram (1000g)</t>
        </is>
      </c>
      <c r="H237" s="5" t="n">
        <v>35</v>
      </c>
      <c r="I237" s="5" t="n">
        <v>1000</v>
      </c>
      <c r="J237">
        <f>H237*I237</f>
        <v/>
      </c>
      <c r="K237" t="n">
        <v>93</v>
      </c>
      <c r="L237" t="n">
        <v>3255</v>
      </c>
    </row>
    <row r="238">
      <c r="A238" t="inlineStr">
        <is>
          <t>2026-07</t>
        </is>
      </c>
      <c r="B238" t="inlineStr">
        <is>
          <t>2026-07-26</t>
        </is>
      </c>
      <c r="C238" t="inlineStr">
        <is>
          <t>CC-CC002-0316</t>
        </is>
      </c>
      <c r="D238" t="inlineStr">
        <is>
          <t>SA</t>
        </is>
      </c>
      <c r="E238" t="inlineStr">
        <is>
          <t>Collective Project</t>
        </is>
      </c>
      <c r="F238" t="inlineStr">
        <is>
          <t>Home Blend (Collective)</t>
        </is>
      </c>
      <c r="G238" t="inlineStr">
        <is>
          <t>Kilogram (1000g)</t>
        </is>
      </c>
      <c r="H238" s="5" t="n">
        <v>30</v>
      </c>
      <c r="I238" s="5" t="n">
        <v>1000</v>
      </c>
      <c r="J238">
        <f>H238*I238</f>
        <v/>
      </c>
      <c r="K238" t="n">
        <v>93</v>
      </c>
      <c r="L238" t="n">
        <v>2790</v>
      </c>
    </row>
    <row r="239">
      <c r="A239" t="inlineStr">
        <is>
          <t>2026-07</t>
        </is>
      </c>
      <c r="B239" t="inlineStr">
        <is>
          <t>2026-07-26</t>
        </is>
      </c>
      <c r="C239" t="inlineStr">
        <is>
          <t>CC-CC003-0213</t>
        </is>
      </c>
      <c r="D239" t="inlineStr">
        <is>
          <t>TAM</t>
        </is>
      </c>
      <c r="E239" t="inlineStr">
        <is>
          <t>Collective Project</t>
        </is>
      </c>
      <c r="F239" t="inlineStr">
        <is>
          <t>Home Blend (Collective)</t>
        </is>
      </c>
      <c r="G239" t="inlineStr">
        <is>
          <t>Kilogram (1000g)</t>
        </is>
      </c>
      <c r="H239" s="5" t="n">
        <v>25</v>
      </c>
      <c r="I239" s="5" t="n">
        <v>1000</v>
      </c>
      <c r="J239">
        <f>H239*I239</f>
        <v/>
      </c>
      <c r="K239" t="n">
        <v>93</v>
      </c>
      <c r="L239" t="n">
        <v>2325</v>
      </c>
    </row>
    <row r="240">
      <c r="A240" t="inlineStr">
        <is>
          <t>2026-05</t>
        </is>
      </c>
      <c r="B240" t="inlineStr">
        <is>
          <t>2026-05-11</t>
        </is>
      </c>
      <c r="C240" t="inlineStr">
        <is>
          <t>CC-CC002-0086</t>
        </is>
      </c>
      <c r="D240" t="inlineStr">
        <is>
          <t>SA</t>
        </is>
      </c>
      <c r="E240" t="inlineStr">
        <is>
          <t>Beard Brothers</t>
        </is>
      </c>
      <c r="F240" t="inlineStr">
        <is>
          <t>Pull Lamb</t>
        </is>
      </c>
      <c r="G240" t="inlineStr">
        <is>
          <t>Pack (1000g)</t>
        </is>
      </c>
      <c r="H240" s="5" t="n">
        <v>5</v>
      </c>
      <c r="I240" s="5" t="n">
        <v>1000</v>
      </c>
      <c r="J240">
        <f>H240*I240</f>
        <v/>
      </c>
      <c r="K240" t="n">
        <v>129.16</v>
      </c>
      <c r="L240" t="n">
        <v>645.8</v>
      </c>
    </row>
    <row r="241">
      <c r="A241" t="inlineStr">
        <is>
          <t>2026-05</t>
        </is>
      </c>
      <c r="B241" t="inlineStr">
        <is>
          <t>2026-05-11</t>
        </is>
      </c>
      <c r="C241" t="inlineStr">
        <is>
          <t>CC-CC003-0057</t>
        </is>
      </c>
      <c r="D241" t="inlineStr">
        <is>
          <t>TAM</t>
        </is>
      </c>
      <c r="E241" t="inlineStr">
        <is>
          <t>Beard Brothers</t>
        </is>
      </c>
      <c r="F241" t="inlineStr">
        <is>
          <t>Pull Lamb</t>
        </is>
      </c>
      <c r="G241" t="inlineStr">
        <is>
          <t>Pack (1000g)</t>
        </is>
      </c>
      <c r="H241" s="5" t="n">
        <v>5</v>
      </c>
      <c r="I241" s="5" t="n">
        <v>1000</v>
      </c>
      <c r="J241">
        <f>H241*I241</f>
        <v/>
      </c>
      <c r="K241" t="n">
        <v>129.16</v>
      </c>
      <c r="L241" t="n">
        <v>645.8</v>
      </c>
    </row>
    <row r="242">
      <c r="A242" t="inlineStr">
        <is>
          <t>2026-05</t>
        </is>
      </c>
      <c r="B242" t="inlineStr">
        <is>
          <t>2026-05-11</t>
        </is>
      </c>
      <c r="C242" t="inlineStr">
        <is>
          <t>CC-CC001-0103</t>
        </is>
      </c>
      <c r="D242" t="inlineStr">
        <is>
          <t>PJ</t>
        </is>
      </c>
      <c r="E242" t="inlineStr">
        <is>
          <t>Beard Brothers</t>
        </is>
      </c>
      <c r="F242" t="inlineStr">
        <is>
          <t>Pull Lamb</t>
        </is>
      </c>
      <c r="G242" t="inlineStr">
        <is>
          <t>Pack (1000g)</t>
        </is>
      </c>
      <c r="H242" s="5" t="n">
        <v>5</v>
      </c>
      <c r="I242" s="5" t="n">
        <v>1000</v>
      </c>
      <c r="J242">
        <f>H242*I242</f>
        <v/>
      </c>
      <c r="K242" t="n">
        <v>129.16</v>
      </c>
      <c r="L242" t="n">
        <v>645.8</v>
      </c>
    </row>
    <row r="243">
      <c r="A243" t="inlineStr">
        <is>
          <t>2026-05</t>
        </is>
      </c>
      <c r="B243" t="inlineStr">
        <is>
          <t>2026-05-31</t>
        </is>
      </c>
      <c r="C243" t="inlineStr">
        <is>
          <t>CC-CC001-0160</t>
        </is>
      </c>
      <c r="D243" t="inlineStr">
        <is>
          <t>PJ</t>
        </is>
      </c>
      <c r="E243" t="inlineStr">
        <is>
          <t>Beard Brothers</t>
        </is>
      </c>
      <c r="F243" t="inlineStr">
        <is>
          <t>Pull Lamb</t>
        </is>
      </c>
      <c r="G243" t="inlineStr">
        <is>
          <t>Pack (1000g)</t>
        </is>
      </c>
      <c r="H243" s="5" t="n">
        <v>5</v>
      </c>
      <c r="I243" s="5" t="n">
        <v>1000</v>
      </c>
      <c r="J243">
        <f>H243*I243</f>
        <v/>
      </c>
      <c r="K243" t="n">
        <v>129.16</v>
      </c>
      <c r="L243" t="n">
        <v>645.8</v>
      </c>
    </row>
    <row r="244">
      <c r="A244" t="inlineStr">
        <is>
          <t>2026-05</t>
        </is>
      </c>
      <c r="B244" t="inlineStr">
        <is>
          <t>2026-05-31</t>
        </is>
      </c>
      <c r="C244" t="inlineStr">
        <is>
          <t>CC-CC002-0152</t>
        </is>
      </c>
      <c r="D244" t="inlineStr">
        <is>
          <t>SA</t>
        </is>
      </c>
      <c r="E244" t="inlineStr">
        <is>
          <t>Beard Brothers</t>
        </is>
      </c>
      <c r="F244" t="inlineStr">
        <is>
          <t>Pull Lamb</t>
        </is>
      </c>
      <c r="G244" t="inlineStr">
        <is>
          <t>Pack (1000g)</t>
        </is>
      </c>
      <c r="H244" s="5" t="n">
        <v>5</v>
      </c>
      <c r="I244" s="5" t="n">
        <v>1000</v>
      </c>
      <c r="J244">
        <f>H244*I244</f>
        <v/>
      </c>
      <c r="K244" t="n">
        <v>129.16</v>
      </c>
      <c r="L244" t="n">
        <v>645.8</v>
      </c>
    </row>
    <row r="245">
      <c r="A245" t="inlineStr">
        <is>
          <t>2026-05</t>
        </is>
      </c>
      <c r="B245" t="inlineStr">
        <is>
          <t>2026-05-31</t>
        </is>
      </c>
      <c r="C245" t="inlineStr">
        <is>
          <t>CC-CC003-0110</t>
        </is>
      </c>
      <c r="D245" t="inlineStr">
        <is>
          <t>TAM</t>
        </is>
      </c>
      <c r="E245" t="inlineStr">
        <is>
          <t>Beard Brothers</t>
        </is>
      </c>
      <c r="F245" t="inlineStr">
        <is>
          <t>Pull Lamb</t>
        </is>
      </c>
      <c r="G245" t="inlineStr">
        <is>
          <t>Pack (1000g)</t>
        </is>
      </c>
      <c r="H245" s="5" t="n">
        <v>5</v>
      </c>
      <c r="I245" s="5" t="n">
        <v>1000</v>
      </c>
      <c r="J245">
        <f>H245*I245</f>
        <v/>
      </c>
      <c r="K245" t="n">
        <v>129.16</v>
      </c>
      <c r="L245" t="n">
        <v>645.8</v>
      </c>
    </row>
    <row r="246">
      <c r="A246" t="inlineStr">
        <is>
          <t>2026-06</t>
        </is>
      </c>
      <c r="B246" t="inlineStr">
        <is>
          <t>2026-06-22</t>
        </is>
      </c>
      <c r="C246" t="inlineStr">
        <is>
          <t>CC-CC001-0233</t>
        </is>
      </c>
      <c r="D246" t="inlineStr">
        <is>
          <t>PJ</t>
        </is>
      </c>
      <c r="E246" t="inlineStr">
        <is>
          <t>Beard Brothers</t>
        </is>
      </c>
      <c r="F246" t="inlineStr">
        <is>
          <t>Pull Lamb</t>
        </is>
      </c>
      <c r="G246" t="inlineStr">
        <is>
          <t>Pack (1000g)</t>
        </is>
      </c>
      <c r="H246" s="5" t="n">
        <v>5</v>
      </c>
      <c r="I246" s="5" t="n">
        <v>1000</v>
      </c>
      <c r="J246">
        <f>H246*I246</f>
        <v/>
      </c>
      <c r="K246" t="n">
        <v>133.66</v>
      </c>
      <c r="L246" t="n">
        <v>668.3</v>
      </c>
    </row>
    <row r="247">
      <c r="A247" t="inlineStr">
        <is>
          <t>2026-07</t>
        </is>
      </c>
      <c r="B247" t="inlineStr">
        <is>
          <t>2026-07-20</t>
        </is>
      </c>
      <c r="C247" t="inlineStr">
        <is>
          <t>CC-CC001-0311</t>
        </is>
      </c>
      <c r="D247" t="inlineStr">
        <is>
          <t>PJ</t>
        </is>
      </c>
      <c r="E247" t="inlineStr">
        <is>
          <t>Beard Brothers</t>
        </is>
      </c>
      <c r="F247" t="inlineStr">
        <is>
          <t>Pull Lamb</t>
        </is>
      </c>
      <c r="G247" t="inlineStr">
        <is>
          <t>Pack (1000g)</t>
        </is>
      </c>
      <c r="H247" s="5" t="n">
        <v>10</v>
      </c>
      <c r="I247" s="5" t="n">
        <v>1000</v>
      </c>
      <c r="J247">
        <f>H247*I247</f>
        <v/>
      </c>
      <c r="K247" t="n">
        <v>129.16</v>
      </c>
      <c r="L247" t="n">
        <v>1291.6</v>
      </c>
    </row>
    <row r="248">
      <c r="A248" t="inlineStr">
        <is>
          <t>2026-07</t>
        </is>
      </c>
      <c r="B248" t="inlineStr">
        <is>
          <t>2026-07-20</t>
        </is>
      </c>
      <c r="C248" t="inlineStr">
        <is>
          <t>CC-CC002-0298</t>
        </is>
      </c>
      <c r="D248" t="inlineStr">
        <is>
          <t>SA</t>
        </is>
      </c>
      <c r="E248" t="inlineStr">
        <is>
          <t>Beard Brothers</t>
        </is>
      </c>
      <c r="F248" t="inlineStr">
        <is>
          <t>Pull Lamb</t>
        </is>
      </c>
      <c r="G248" t="inlineStr">
        <is>
          <t>Pack (1000g)</t>
        </is>
      </c>
      <c r="H248" s="5" t="n">
        <v>5</v>
      </c>
      <c r="I248" s="5" t="n">
        <v>1000</v>
      </c>
      <c r="J248">
        <f>H248*I248</f>
        <v/>
      </c>
      <c r="K248" t="n">
        <v>129.16</v>
      </c>
      <c r="L248" t="n">
        <v>645.8</v>
      </c>
    </row>
    <row r="249">
      <c r="A249" t="inlineStr">
        <is>
          <t>2026-04</t>
        </is>
      </c>
      <c r="B249" t="inlineStr">
        <is>
          <t>2026-04-14</t>
        </is>
      </c>
      <c r="C249" t="inlineStr">
        <is>
          <t>CC-CC001-0008</t>
        </is>
      </c>
      <c r="D249" t="inlineStr">
        <is>
          <t>PJ</t>
        </is>
      </c>
      <c r="E249" t="inlineStr">
        <is>
          <t>Pastry World Sdn Bhd</t>
        </is>
      </c>
      <c r="F249" t="inlineStr">
        <is>
          <t>Salted Croissant</t>
        </is>
      </c>
      <c r="G249" t="inlineStr">
        <is>
          <t>Carton (4× 7pcs Pack)</t>
        </is>
      </c>
      <c r="H249" s="5" t="n">
        <v>2</v>
      </c>
      <c r="I249" s="5" t="n">
        <v>28</v>
      </c>
      <c r="J249">
        <f>H249*I249</f>
        <v/>
      </c>
      <c r="K249" t="n">
        <v>162.4</v>
      </c>
      <c r="L249" t="n">
        <v>324.8</v>
      </c>
    </row>
    <row r="250">
      <c r="A250" t="inlineStr">
        <is>
          <t>2026-04</t>
        </is>
      </c>
      <c r="B250" t="inlineStr">
        <is>
          <t>2026-04-14</t>
        </is>
      </c>
      <c r="C250" t="inlineStr">
        <is>
          <t>CC-CC002-0008</t>
        </is>
      </c>
      <c r="D250" t="inlineStr">
        <is>
          <t>SA</t>
        </is>
      </c>
      <c r="E250" t="inlineStr">
        <is>
          <t>Pastry World Sdn Bhd</t>
        </is>
      </c>
      <c r="F250" t="inlineStr">
        <is>
          <t>Salted Croissant</t>
        </is>
      </c>
      <c r="G250" t="inlineStr">
        <is>
          <t>Carton (4× 7pcs Pack)</t>
        </is>
      </c>
      <c r="H250" s="5" t="n">
        <v>56</v>
      </c>
      <c r="I250" s="5" t="n">
        <v>28</v>
      </c>
      <c r="J250">
        <f>H250*I250</f>
        <v/>
      </c>
      <c r="K250" t="n">
        <v>6.09</v>
      </c>
      <c r="L250" t="n">
        <v>341.04</v>
      </c>
    </row>
    <row r="251">
      <c r="A251" t="inlineStr">
        <is>
          <t>2026-04</t>
        </is>
      </c>
      <c r="B251" t="inlineStr">
        <is>
          <t>2026-04-14</t>
        </is>
      </c>
      <c r="C251" t="inlineStr">
        <is>
          <t>CC-CC003-0002</t>
        </is>
      </c>
      <c r="D251" t="inlineStr">
        <is>
          <t>TAM</t>
        </is>
      </c>
      <c r="E251" t="inlineStr">
        <is>
          <t>Pastry World Sdn Bhd</t>
        </is>
      </c>
      <c r="F251" t="inlineStr">
        <is>
          <t>Salted Croissant</t>
        </is>
      </c>
      <c r="G251" t="inlineStr">
        <is>
          <t>Carton (4× 7pcs Pack)</t>
        </is>
      </c>
      <c r="H251" s="5" t="n">
        <v>2</v>
      </c>
      <c r="I251" s="5" t="n">
        <v>28</v>
      </c>
      <c r="J251">
        <f>H251*I251</f>
        <v/>
      </c>
      <c r="K251" t="n">
        <v>162.4</v>
      </c>
      <c r="L251" t="n">
        <v>324.8</v>
      </c>
    </row>
    <row r="252">
      <c r="A252" t="inlineStr">
        <is>
          <t>2026-04</t>
        </is>
      </c>
      <c r="B252" t="inlineStr">
        <is>
          <t>2026-04-21</t>
        </is>
      </c>
      <c r="C252" t="inlineStr">
        <is>
          <t>CC-CC003-0012</t>
        </is>
      </c>
      <c r="D252" t="inlineStr">
        <is>
          <t>TAM</t>
        </is>
      </c>
      <c r="E252" t="inlineStr">
        <is>
          <t>Pastry World Sdn Bhd</t>
        </is>
      </c>
      <c r="F252" t="inlineStr">
        <is>
          <t>Salted Croissant</t>
        </is>
      </c>
      <c r="G252" t="inlineStr">
        <is>
          <t>Carton (4× 7pcs Pack)</t>
        </is>
      </c>
      <c r="H252" s="5" t="n">
        <v>2</v>
      </c>
      <c r="I252" s="5" t="n">
        <v>28</v>
      </c>
      <c r="J252">
        <f>H252*I252</f>
        <v/>
      </c>
      <c r="K252" t="n">
        <v>162.4</v>
      </c>
      <c r="L252" t="n">
        <v>324.8</v>
      </c>
    </row>
    <row r="253">
      <c r="A253" t="inlineStr">
        <is>
          <t>2026-04</t>
        </is>
      </c>
      <c r="B253" t="inlineStr">
        <is>
          <t>2026-04-21</t>
        </is>
      </c>
      <c r="C253" t="inlineStr">
        <is>
          <t>CC-CC002-0023</t>
        </is>
      </c>
      <c r="D253" t="inlineStr">
        <is>
          <t>SA</t>
        </is>
      </c>
      <c r="E253" t="inlineStr">
        <is>
          <t>Pastry World Sdn Bhd</t>
        </is>
      </c>
      <c r="F253" t="inlineStr">
        <is>
          <t>Salted Croissant</t>
        </is>
      </c>
      <c r="G253" t="inlineStr">
        <is>
          <t>Carton (4× 7pcs Pack)</t>
        </is>
      </c>
      <c r="H253" s="5" t="n">
        <v>2</v>
      </c>
      <c r="I253" s="5" t="n">
        <v>28</v>
      </c>
      <c r="J253">
        <f>H253*I253</f>
        <v/>
      </c>
      <c r="K253" t="n">
        <v>170.52</v>
      </c>
      <c r="L253" t="n">
        <v>341.04</v>
      </c>
    </row>
    <row r="254">
      <c r="A254" t="inlineStr">
        <is>
          <t>2026-04</t>
        </is>
      </c>
      <c r="B254" t="inlineStr">
        <is>
          <t>2026-04-21</t>
        </is>
      </c>
      <c r="C254" t="inlineStr">
        <is>
          <t>CC-CC001-0024</t>
        </is>
      </c>
      <c r="D254" t="inlineStr">
        <is>
          <t>PJ</t>
        </is>
      </c>
      <c r="E254" t="inlineStr">
        <is>
          <t>Pastry World Sdn Bhd</t>
        </is>
      </c>
      <c r="F254" t="inlineStr">
        <is>
          <t>Salted Croissant</t>
        </is>
      </c>
      <c r="G254" t="inlineStr">
        <is>
          <t>Carton (4× 7pcs Pack)</t>
        </is>
      </c>
      <c r="H254" s="5" t="n">
        <v>2</v>
      </c>
      <c r="I254" s="5" t="n">
        <v>28</v>
      </c>
      <c r="J254">
        <f>H254*I254</f>
        <v/>
      </c>
      <c r="K254" t="n">
        <v>170.52</v>
      </c>
      <c r="L254" t="n">
        <v>341.04</v>
      </c>
    </row>
    <row r="255">
      <c r="A255" t="inlineStr">
        <is>
          <t>2026-05</t>
        </is>
      </c>
      <c r="B255" t="inlineStr">
        <is>
          <t>2026-05-10</t>
        </is>
      </c>
      <c r="C255" t="inlineStr">
        <is>
          <t>CC-CC001-0102</t>
        </is>
      </c>
      <c r="D255" t="inlineStr">
        <is>
          <t>PJ</t>
        </is>
      </c>
      <c r="E255" t="inlineStr">
        <is>
          <t>Pastry World Sdn Bhd</t>
        </is>
      </c>
      <c r="F255" t="inlineStr">
        <is>
          <t>Salted Croissant</t>
        </is>
      </c>
      <c r="G255" t="inlineStr">
        <is>
          <t>Carton (4× 7pcs Pack)</t>
        </is>
      </c>
      <c r="H255" s="5" t="n">
        <v>2</v>
      </c>
      <c r="I255" s="5" t="n">
        <v>28</v>
      </c>
      <c r="J255">
        <f>H255*I255</f>
        <v/>
      </c>
      <c r="K255" t="n">
        <v>170.52</v>
      </c>
      <c r="L255" t="n">
        <v>341.04</v>
      </c>
    </row>
    <row r="256">
      <c r="A256" t="inlineStr">
        <is>
          <t>2026-05</t>
        </is>
      </c>
      <c r="B256" t="inlineStr">
        <is>
          <t>2026-05-10</t>
        </is>
      </c>
      <c r="C256" t="inlineStr">
        <is>
          <t>CC-CC002-0085</t>
        </is>
      </c>
      <c r="D256" t="inlineStr">
        <is>
          <t>SA</t>
        </is>
      </c>
      <c r="E256" t="inlineStr">
        <is>
          <t>Pastry World Sdn Bhd</t>
        </is>
      </c>
      <c r="F256" t="inlineStr">
        <is>
          <t>Salted Croissant</t>
        </is>
      </c>
      <c r="G256" t="inlineStr">
        <is>
          <t>Carton (4× 7pcs Pack)</t>
        </is>
      </c>
      <c r="H256" s="5" t="n">
        <v>2</v>
      </c>
      <c r="I256" s="5" t="n">
        <v>28</v>
      </c>
      <c r="J256">
        <f>H256*I256</f>
        <v/>
      </c>
      <c r="K256" t="n">
        <v>170.52</v>
      </c>
      <c r="L256" t="n">
        <v>341.04</v>
      </c>
    </row>
    <row r="257">
      <c r="A257" t="inlineStr">
        <is>
          <t>2026-05</t>
        </is>
      </c>
      <c r="B257" t="inlineStr">
        <is>
          <t>2026-05-10</t>
        </is>
      </c>
      <c r="C257" t="inlineStr">
        <is>
          <t>CC-CC003-0056</t>
        </is>
      </c>
      <c r="D257" t="inlineStr">
        <is>
          <t>TAM</t>
        </is>
      </c>
      <c r="E257" t="inlineStr">
        <is>
          <t>Pastry World Sdn Bhd</t>
        </is>
      </c>
      <c r="F257" t="inlineStr">
        <is>
          <t>Salted Croissant</t>
        </is>
      </c>
      <c r="G257" t="inlineStr">
        <is>
          <t>Carton (4× 7pcs Pack)</t>
        </is>
      </c>
      <c r="H257" s="5" t="n">
        <v>2</v>
      </c>
      <c r="I257" s="5" t="n">
        <v>28</v>
      </c>
      <c r="J257">
        <f>H257*I257</f>
        <v/>
      </c>
      <c r="K257" t="n">
        <v>170.52</v>
      </c>
      <c r="L257" t="n">
        <v>341.04</v>
      </c>
    </row>
    <row r="258">
      <c r="A258" t="inlineStr">
        <is>
          <t>2026-05</t>
        </is>
      </c>
      <c r="B258" t="inlineStr">
        <is>
          <t>2026-05-17</t>
        </is>
      </c>
      <c r="C258" t="inlineStr">
        <is>
          <t>CC-CC001-0126</t>
        </is>
      </c>
      <c r="D258" t="inlineStr">
        <is>
          <t>PJ</t>
        </is>
      </c>
      <c r="E258" t="inlineStr">
        <is>
          <t>Pastry World Sdn Bhd</t>
        </is>
      </c>
      <c r="F258" t="inlineStr">
        <is>
          <t>Salted Croissant</t>
        </is>
      </c>
      <c r="G258" t="inlineStr">
        <is>
          <t>Carton (4× 7pcs Pack)</t>
        </is>
      </c>
      <c r="H258" s="5" t="n">
        <v>2</v>
      </c>
      <c r="I258" s="5" t="n">
        <v>28</v>
      </c>
      <c r="J258">
        <f>H258*I258</f>
        <v/>
      </c>
      <c r="K258" t="n">
        <v>170.52</v>
      </c>
      <c r="L258" t="n">
        <v>341.04</v>
      </c>
    </row>
    <row r="259">
      <c r="A259" t="inlineStr">
        <is>
          <t>2026-05</t>
        </is>
      </c>
      <c r="B259" t="inlineStr">
        <is>
          <t>2026-05-17</t>
        </is>
      </c>
      <c r="C259" t="inlineStr">
        <is>
          <t>CC-CC003-0074</t>
        </is>
      </c>
      <c r="D259" t="inlineStr">
        <is>
          <t>TAM</t>
        </is>
      </c>
      <c r="E259" t="inlineStr">
        <is>
          <t>Pastry World Sdn Bhd</t>
        </is>
      </c>
      <c r="F259" t="inlineStr">
        <is>
          <t>Salted Croissant</t>
        </is>
      </c>
      <c r="G259" t="inlineStr">
        <is>
          <t>Carton (4× 7pcs Pack)</t>
        </is>
      </c>
      <c r="H259" s="5" t="n">
        <v>2</v>
      </c>
      <c r="I259" s="5" t="n">
        <v>28</v>
      </c>
      <c r="J259">
        <f>H259*I259</f>
        <v/>
      </c>
      <c r="K259" t="n">
        <v>170.52</v>
      </c>
      <c r="L259" t="n">
        <v>341.04</v>
      </c>
    </row>
    <row r="260">
      <c r="A260" t="inlineStr">
        <is>
          <t>2026-05</t>
        </is>
      </c>
      <c r="B260" t="inlineStr">
        <is>
          <t>2026-05-17</t>
        </is>
      </c>
      <c r="C260" t="inlineStr">
        <is>
          <t>CC-CC002-0108</t>
        </is>
      </c>
      <c r="D260" t="inlineStr">
        <is>
          <t>SA</t>
        </is>
      </c>
      <c r="E260" t="inlineStr">
        <is>
          <t>Pastry World Sdn Bhd</t>
        </is>
      </c>
      <c r="F260" t="inlineStr">
        <is>
          <t>Salted Croissant</t>
        </is>
      </c>
      <c r="G260" t="inlineStr">
        <is>
          <t>Carton (4× 7pcs Pack)</t>
        </is>
      </c>
      <c r="H260" s="5" t="n">
        <v>2</v>
      </c>
      <c r="I260" s="5" t="n">
        <v>28</v>
      </c>
      <c r="J260">
        <f>H260*I260</f>
        <v/>
      </c>
      <c r="K260" t="n">
        <v>170.52</v>
      </c>
      <c r="L260" t="n">
        <v>341.04</v>
      </c>
    </row>
    <row r="261">
      <c r="A261" t="inlineStr">
        <is>
          <t>2026-06</t>
        </is>
      </c>
      <c r="B261" t="inlineStr">
        <is>
          <t>2026-06-10</t>
        </is>
      </c>
      <c r="C261" t="inlineStr">
        <is>
          <t>CC-CC001-0199</t>
        </is>
      </c>
      <c r="D261" t="inlineStr">
        <is>
          <t>PJ</t>
        </is>
      </c>
      <c r="E261" t="inlineStr">
        <is>
          <t>Pastry World Sdn Bhd</t>
        </is>
      </c>
      <c r="F261" t="inlineStr">
        <is>
          <t>Salted Croissant</t>
        </is>
      </c>
      <c r="G261" t="inlineStr">
        <is>
          <t>Carton (4× 7pcs Pack)</t>
        </is>
      </c>
      <c r="H261" s="5" t="n">
        <v>4</v>
      </c>
      <c r="I261" s="5" t="n">
        <v>28</v>
      </c>
      <c r="J261">
        <f>H261*I261</f>
        <v/>
      </c>
      <c r="K261" t="n">
        <v>170.52</v>
      </c>
      <c r="L261" t="n">
        <v>682.08</v>
      </c>
    </row>
    <row r="262">
      <c r="A262" t="inlineStr">
        <is>
          <t>2026-06</t>
        </is>
      </c>
      <c r="B262" t="inlineStr">
        <is>
          <t>2026-06-10</t>
        </is>
      </c>
      <c r="C262" t="inlineStr">
        <is>
          <t>CC-CC002-0185</t>
        </is>
      </c>
      <c r="D262" t="inlineStr">
        <is>
          <t>SA</t>
        </is>
      </c>
      <c r="E262" t="inlineStr">
        <is>
          <t>Pastry World Sdn Bhd</t>
        </is>
      </c>
      <c r="F262" t="inlineStr">
        <is>
          <t>Salted Croissant</t>
        </is>
      </c>
      <c r="G262" t="inlineStr">
        <is>
          <t>Carton (4× 7pcs Pack)</t>
        </is>
      </c>
      <c r="H262" s="5" t="n">
        <v>2</v>
      </c>
      <c r="I262" s="5" t="n">
        <v>28</v>
      </c>
      <c r="J262">
        <f>H262*I262</f>
        <v/>
      </c>
      <c r="K262" t="n">
        <v>170.52</v>
      </c>
      <c r="L262" t="n">
        <v>341.04</v>
      </c>
    </row>
    <row r="263">
      <c r="A263" t="inlineStr">
        <is>
          <t>2026-07</t>
        </is>
      </c>
      <c r="B263" t="inlineStr">
        <is>
          <t>2026-07-05</t>
        </is>
      </c>
      <c r="C263" t="inlineStr">
        <is>
          <t>CC-CC001-0268</t>
        </is>
      </c>
      <c r="D263" t="inlineStr">
        <is>
          <t>PJ</t>
        </is>
      </c>
      <c r="E263" t="inlineStr">
        <is>
          <t>Pastry World Sdn Bhd</t>
        </is>
      </c>
      <c r="F263" t="inlineStr">
        <is>
          <t>Salted Croissant</t>
        </is>
      </c>
      <c r="G263" t="inlineStr">
        <is>
          <t>Carton (4× 7pcs Pack)</t>
        </is>
      </c>
      <c r="H263" s="5" t="n">
        <v>2</v>
      </c>
      <c r="I263" s="5" t="n">
        <v>28</v>
      </c>
      <c r="J263">
        <f>H263*I263</f>
        <v/>
      </c>
      <c r="K263" t="n">
        <v>170.52</v>
      </c>
      <c r="L263" t="n">
        <v>341.04</v>
      </c>
    </row>
    <row r="264">
      <c r="A264" t="inlineStr">
        <is>
          <t>2026-07</t>
        </is>
      </c>
      <c r="B264" t="inlineStr">
        <is>
          <t>2026-07-05</t>
        </is>
      </c>
      <c r="C264" t="inlineStr">
        <is>
          <t>CC-CC002-0254</t>
        </is>
      </c>
      <c r="D264" t="inlineStr">
        <is>
          <t>SA</t>
        </is>
      </c>
      <c r="E264" t="inlineStr">
        <is>
          <t>Pastry World Sdn Bhd</t>
        </is>
      </c>
      <c r="F264" t="inlineStr">
        <is>
          <t>Salted Croissant</t>
        </is>
      </c>
      <c r="G264" t="inlineStr">
        <is>
          <t>Carton (4× 7pcs Pack)</t>
        </is>
      </c>
      <c r="H264" s="5" t="n">
        <v>2</v>
      </c>
      <c r="I264" s="5" t="n">
        <v>28</v>
      </c>
      <c r="J264">
        <f>H264*I264</f>
        <v/>
      </c>
      <c r="K264" t="n">
        <v>170.52</v>
      </c>
      <c r="L264" t="n">
        <v>341.04</v>
      </c>
    </row>
    <row r="265">
      <c r="A265" t="inlineStr">
        <is>
          <t>2026-07</t>
        </is>
      </c>
      <c r="B265" t="inlineStr">
        <is>
          <t>2026-07-05</t>
        </is>
      </c>
      <c r="C265" t="inlineStr">
        <is>
          <t>CC-CC003-0176</t>
        </is>
      </c>
      <c r="D265" t="inlineStr">
        <is>
          <t>TAM</t>
        </is>
      </c>
      <c r="E265" t="inlineStr">
        <is>
          <t>Pastry World Sdn Bhd</t>
        </is>
      </c>
      <c r="F265" t="inlineStr">
        <is>
          <t>Salted Croissant</t>
        </is>
      </c>
      <c r="G265" t="inlineStr">
        <is>
          <t>Carton (4× 7pcs Pack)</t>
        </is>
      </c>
      <c r="H265" s="5" t="n">
        <v>2</v>
      </c>
      <c r="I265" s="5" t="n">
        <v>28</v>
      </c>
      <c r="J265">
        <f>H265*I265</f>
        <v/>
      </c>
      <c r="K265" t="n">
        <v>170.52</v>
      </c>
      <c r="L265" t="n">
        <v>341.04</v>
      </c>
    </row>
    <row r="266">
      <c r="A266" t="inlineStr">
        <is>
          <t>2026-07</t>
        </is>
      </c>
      <c r="B266" t="inlineStr">
        <is>
          <t>2026-07-16</t>
        </is>
      </c>
      <c r="C266" t="inlineStr">
        <is>
          <t>CC-CC001-0296</t>
        </is>
      </c>
      <c r="D266" t="inlineStr">
        <is>
          <t>PJ</t>
        </is>
      </c>
      <c r="E266" t="inlineStr">
        <is>
          <t>Pastry World Sdn Bhd</t>
        </is>
      </c>
      <c r="F266" t="inlineStr">
        <is>
          <t>Salted Croissant</t>
        </is>
      </c>
      <c r="G266" t="inlineStr">
        <is>
          <t>Carton (4× 7pcs Pack)</t>
        </is>
      </c>
      <c r="H266" s="5" t="n">
        <v>2</v>
      </c>
      <c r="I266" s="5" t="n">
        <v>28</v>
      </c>
      <c r="J266">
        <f>H266*I266</f>
        <v/>
      </c>
      <c r="K266" t="n">
        <v>170.52</v>
      </c>
      <c r="L266" t="n">
        <v>341.04</v>
      </c>
    </row>
    <row r="267">
      <c r="A267" t="inlineStr">
        <is>
          <t>2026-07</t>
        </is>
      </c>
      <c r="B267" t="inlineStr">
        <is>
          <t>2026-07-16</t>
        </is>
      </c>
      <c r="C267" t="inlineStr">
        <is>
          <t>CC-CC003-0198</t>
        </is>
      </c>
      <c r="D267" t="inlineStr">
        <is>
          <t>TAM</t>
        </is>
      </c>
      <c r="E267" t="inlineStr">
        <is>
          <t>Pastry World Sdn Bhd</t>
        </is>
      </c>
      <c r="F267" t="inlineStr">
        <is>
          <t>Salted Croissant</t>
        </is>
      </c>
      <c r="G267" t="inlineStr">
        <is>
          <t>Carton (4× 7pcs Pack)</t>
        </is>
      </c>
      <c r="H267" s="5" t="n">
        <v>2</v>
      </c>
      <c r="I267" s="5" t="n">
        <v>28</v>
      </c>
      <c r="J267">
        <f>H267*I267</f>
        <v/>
      </c>
      <c r="K267" t="n">
        <v>170.52</v>
      </c>
      <c r="L267" t="n">
        <v>341.04</v>
      </c>
    </row>
    <row r="268">
      <c r="A268" t="inlineStr">
        <is>
          <t>2026-07</t>
        </is>
      </c>
      <c r="B268" t="inlineStr">
        <is>
          <t>2026-07-16</t>
        </is>
      </c>
      <c r="C268" t="inlineStr">
        <is>
          <t>CC-CC002-0287</t>
        </is>
      </c>
      <c r="D268" t="inlineStr">
        <is>
          <t>SA</t>
        </is>
      </c>
      <c r="E268" t="inlineStr">
        <is>
          <t>Pastry World Sdn Bhd</t>
        </is>
      </c>
      <c r="F268" t="inlineStr">
        <is>
          <t>Salted Croissant</t>
        </is>
      </c>
      <c r="G268" t="inlineStr">
        <is>
          <t>Carton (4× 7pcs Pack)</t>
        </is>
      </c>
      <c r="H268" s="5" t="n">
        <v>2</v>
      </c>
      <c r="I268" s="5" t="n">
        <v>28</v>
      </c>
      <c r="J268">
        <f>H268*I268</f>
        <v/>
      </c>
      <c r="K268" t="n">
        <v>170.52</v>
      </c>
      <c r="L268" t="n">
        <v>341.04</v>
      </c>
    </row>
    <row r="269">
      <c r="A269" t="inlineStr">
        <is>
          <t>2026-04</t>
        </is>
      </c>
      <c r="B269" t="inlineStr">
        <is>
          <t>2026-04-16</t>
        </is>
      </c>
      <c r="C269" t="inlineStr">
        <is>
          <t>PC-CC002-0001</t>
        </is>
      </c>
      <c r="D269" t="inlineStr">
        <is>
          <t>SA</t>
        </is>
      </c>
      <c r="E269" t="inlineStr">
        <is>
          <t>Ad-hoc Purchase</t>
        </is>
      </c>
      <c r="F269" t="inlineStr">
        <is>
          <t>Telur Omega</t>
        </is>
      </c>
      <c r="G269" t="inlineStr">
        <is>
          <t>(no pkg)</t>
        </is>
      </c>
      <c r="H269" s="5" t="n">
        <v>1</v>
      </c>
      <c r="I269" s="5" t="n">
        <v>1</v>
      </c>
      <c r="J269">
        <f>H269*I269</f>
        <v/>
      </c>
      <c r="K269" t="n">
        <v>54</v>
      </c>
      <c r="L269" t="n">
        <v>54</v>
      </c>
    </row>
    <row r="270">
      <c r="A270" t="inlineStr">
        <is>
          <t>2026-04</t>
        </is>
      </c>
      <c r="B270" t="inlineStr">
        <is>
          <t>2026-04-18</t>
        </is>
      </c>
      <c r="C270" t="inlineStr">
        <is>
          <t>PC-CC001-0010</t>
        </is>
      </c>
      <c r="D270" t="inlineStr">
        <is>
          <t>PJ</t>
        </is>
      </c>
      <c r="E270" t="inlineStr">
        <is>
          <t>Ad-hoc Purchase</t>
        </is>
      </c>
      <c r="F270" t="inlineStr">
        <is>
          <t>Telur Omega</t>
        </is>
      </c>
      <c r="G270" t="inlineStr">
        <is>
          <t>(no pkg)</t>
        </is>
      </c>
      <c r="H270" s="5" t="n">
        <v>1</v>
      </c>
      <c r="I270" s="5" t="n">
        <v>1</v>
      </c>
      <c r="J270">
        <f>H270*I270</f>
        <v/>
      </c>
      <c r="K270" t="n">
        <v>13</v>
      </c>
      <c r="L270" t="n">
        <v>13</v>
      </c>
    </row>
    <row r="271">
      <c r="A271" t="inlineStr">
        <is>
          <t>2026-04</t>
        </is>
      </c>
      <c r="B271" t="inlineStr">
        <is>
          <t>2026-04-18</t>
        </is>
      </c>
      <c r="C271" t="inlineStr">
        <is>
          <t>PC-CC002-0010</t>
        </is>
      </c>
      <c r="D271" t="inlineStr">
        <is>
          <t>SA</t>
        </is>
      </c>
      <c r="E271" t="inlineStr">
        <is>
          <t>Ad-hoc Purchase</t>
        </is>
      </c>
      <c r="F271" t="inlineStr">
        <is>
          <t>Telur Omega</t>
        </is>
      </c>
      <c r="G271" t="inlineStr">
        <is>
          <t>(no pkg)</t>
        </is>
      </c>
      <c r="H271" s="5" t="n">
        <v>1</v>
      </c>
      <c r="I271" s="5" t="n">
        <v>1</v>
      </c>
      <c r="J271">
        <f>H271*I271</f>
        <v/>
      </c>
      <c r="K271" t="n">
        <v>19.5</v>
      </c>
      <c r="L271" t="n">
        <v>19.5</v>
      </c>
    </row>
    <row r="272">
      <c r="A272" t="inlineStr">
        <is>
          <t>2026-04</t>
        </is>
      </c>
      <c r="B272" t="inlineStr">
        <is>
          <t>2026-04-18</t>
        </is>
      </c>
      <c r="C272" t="inlineStr">
        <is>
          <t>PC-CC002-0012</t>
        </is>
      </c>
      <c r="D272" t="inlineStr">
        <is>
          <t>SA</t>
        </is>
      </c>
      <c r="E272" t="inlineStr">
        <is>
          <t>Ad-hoc Purchase</t>
        </is>
      </c>
      <c r="F272" t="inlineStr">
        <is>
          <t>Telur Omega</t>
        </is>
      </c>
      <c r="G272" t="inlineStr">
        <is>
          <t>(no pkg)</t>
        </is>
      </c>
      <c r="H272" s="5" t="n">
        <v>3</v>
      </c>
      <c r="I272" s="5" t="n">
        <v>1</v>
      </c>
      <c r="J272">
        <f>H272*I272</f>
        <v/>
      </c>
      <c r="K272" t="n">
        <v>19.5</v>
      </c>
      <c r="L272" t="n">
        <v>58.5</v>
      </c>
    </row>
    <row r="273">
      <c r="A273" t="inlineStr">
        <is>
          <t>2026-04</t>
        </is>
      </c>
      <c r="B273" t="inlineStr">
        <is>
          <t>2026-04-18</t>
        </is>
      </c>
      <c r="C273" t="inlineStr">
        <is>
          <t>PC-CC001-0023</t>
        </is>
      </c>
      <c r="D273" t="inlineStr">
        <is>
          <t>PJ</t>
        </is>
      </c>
      <c r="E273" t="inlineStr">
        <is>
          <t>Ad-hoc Purchase</t>
        </is>
      </c>
      <c r="F273" t="inlineStr">
        <is>
          <t>Telur Omega</t>
        </is>
      </c>
      <c r="G273" t="inlineStr">
        <is>
          <t>(no pkg)</t>
        </is>
      </c>
      <c r="H273" s="5" t="n">
        <v>1</v>
      </c>
      <c r="I273" s="5" t="n">
        <v>1</v>
      </c>
      <c r="J273">
        <f>H273*I273</f>
        <v/>
      </c>
      <c r="K273" t="n">
        <v>24.4</v>
      </c>
      <c r="L273" t="n">
        <v>24.4</v>
      </c>
    </row>
    <row r="274">
      <c r="A274" t="inlineStr">
        <is>
          <t>2026-04</t>
        </is>
      </c>
      <c r="B274" t="inlineStr">
        <is>
          <t>2026-04-23</t>
        </is>
      </c>
      <c r="C274" t="inlineStr">
        <is>
          <t>PC-CC002-0022</t>
        </is>
      </c>
      <c r="D274" t="inlineStr">
        <is>
          <t>SA</t>
        </is>
      </c>
      <c r="E274" t="inlineStr">
        <is>
          <t>Ad-hoc Purchase</t>
        </is>
      </c>
      <c r="F274" t="inlineStr">
        <is>
          <t>Telur Omega</t>
        </is>
      </c>
      <c r="G274" t="inlineStr">
        <is>
          <t>(no pkg)</t>
        </is>
      </c>
      <c r="H274" s="5" t="n">
        <v>2</v>
      </c>
      <c r="I274" s="5" t="n">
        <v>1</v>
      </c>
      <c r="J274">
        <f>H274*I274</f>
        <v/>
      </c>
      <c r="K274" t="n">
        <v>19.5</v>
      </c>
      <c r="L274" t="n">
        <v>39</v>
      </c>
    </row>
    <row r="275">
      <c r="A275" t="inlineStr">
        <is>
          <t>2026-04</t>
        </is>
      </c>
      <c r="B275" t="inlineStr">
        <is>
          <t>2026-04-23</t>
        </is>
      </c>
      <c r="C275" t="inlineStr">
        <is>
          <t>PC-CC001-0026</t>
        </is>
      </c>
      <c r="D275" t="inlineStr">
        <is>
          <t>PJ</t>
        </is>
      </c>
      <c r="E275" t="inlineStr">
        <is>
          <t>Ad-hoc Purchase</t>
        </is>
      </c>
      <c r="F275" t="inlineStr">
        <is>
          <t>Telur Omega</t>
        </is>
      </c>
      <c r="G275" t="inlineStr">
        <is>
          <t>(no pkg)</t>
        </is>
      </c>
      <c r="H275" s="5" t="n">
        <v>1</v>
      </c>
      <c r="I275" s="5" t="n">
        <v>1</v>
      </c>
      <c r="J275">
        <f>H275*I275</f>
        <v/>
      </c>
      <c r="K275" t="n">
        <v>5.3</v>
      </c>
      <c r="L275" t="n">
        <v>5.3</v>
      </c>
    </row>
    <row r="276">
      <c r="A276" t="inlineStr">
        <is>
          <t>2026-04</t>
        </is>
      </c>
      <c r="B276" t="inlineStr">
        <is>
          <t>2026-04-23</t>
        </is>
      </c>
      <c r="C276" t="inlineStr">
        <is>
          <t>PC-CC003-0019</t>
        </is>
      </c>
      <c r="D276" t="inlineStr">
        <is>
          <t>TAM</t>
        </is>
      </c>
      <c r="E276" t="inlineStr">
        <is>
          <t>Ad-hoc Purchase</t>
        </is>
      </c>
      <c r="F276" t="inlineStr">
        <is>
          <t>Telur Omega</t>
        </is>
      </c>
      <c r="G276" t="inlineStr">
        <is>
          <t>(no pkg)</t>
        </is>
      </c>
      <c r="H276" s="5" t="n">
        <v>1</v>
      </c>
      <c r="I276" s="5" t="n">
        <v>1</v>
      </c>
      <c r="J276">
        <f>H276*I276</f>
        <v/>
      </c>
      <c r="K276" t="n">
        <v>9.5</v>
      </c>
      <c r="L276" t="n">
        <v>9.5</v>
      </c>
    </row>
    <row r="277">
      <c r="A277" t="inlineStr">
        <is>
          <t>2026-04</t>
        </is>
      </c>
      <c r="B277" t="inlineStr">
        <is>
          <t>2026-04-23</t>
        </is>
      </c>
      <c r="C277" t="inlineStr">
        <is>
          <t>PC-CC001-0044</t>
        </is>
      </c>
      <c r="D277" t="inlineStr">
        <is>
          <t>PJ</t>
        </is>
      </c>
      <c r="E277" t="inlineStr">
        <is>
          <t>Ad-hoc Purchase</t>
        </is>
      </c>
      <c r="F277" t="inlineStr">
        <is>
          <t>Telur Omega</t>
        </is>
      </c>
      <c r="G277" t="inlineStr">
        <is>
          <t>(no pkg)</t>
        </is>
      </c>
      <c r="H277" s="5" t="n">
        <v>1</v>
      </c>
      <c r="I277" s="5" t="n">
        <v>1</v>
      </c>
      <c r="J277">
        <f>H277*I277</f>
        <v/>
      </c>
      <c r="K277" t="n">
        <v>23.6</v>
      </c>
      <c r="L277" t="n">
        <v>23.6</v>
      </c>
    </row>
    <row r="278">
      <c r="A278" t="inlineStr">
        <is>
          <t>2026-04</t>
        </is>
      </c>
      <c r="B278" t="inlineStr">
        <is>
          <t>2026-04-26</t>
        </is>
      </c>
      <c r="C278" t="inlineStr">
        <is>
          <t>PC-CC003-0031</t>
        </is>
      </c>
      <c r="D278" t="inlineStr">
        <is>
          <t>TAM</t>
        </is>
      </c>
      <c r="E278" t="inlineStr">
        <is>
          <t>Ad-hoc Purchase</t>
        </is>
      </c>
      <c r="F278" t="inlineStr">
        <is>
          <t>Telur Omega</t>
        </is>
      </c>
      <c r="G278" t="inlineStr">
        <is>
          <t>(no pkg)</t>
        </is>
      </c>
      <c r="H278" s="5" t="n">
        <v>1</v>
      </c>
      <c r="I278" s="5" t="n">
        <v>1</v>
      </c>
      <c r="J278">
        <f>H278*I278</f>
        <v/>
      </c>
      <c r="K278" t="n">
        <v>10.25</v>
      </c>
      <c r="L278" t="n">
        <v>10.25</v>
      </c>
    </row>
    <row r="279">
      <c r="A279" t="inlineStr">
        <is>
          <t>2026-04</t>
        </is>
      </c>
      <c r="B279" t="inlineStr">
        <is>
          <t>2026-04-26</t>
        </is>
      </c>
      <c r="C279" t="inlineStr">
        <is>
          <t>PC-CC001-0062</t>
        </is>
      </c>
      <c r="D279" t="inlineStr">
        <is>
          <t>PJ</t>
        </is>
      </c>
      <c r="E279" t="inlineStr">
        <is>
          <t>Ad-hoc Purchase</t>
        </is>
      </c>
      <c r="F279" t="inlineStr">
        <is>
          <t>Telur Omega</t>
        </is>
      </c>
      <c r="G279" t="inlineStr">
        <is>
          <t>(no pkg)</t>
        </is>
      </c>
      <c r="H279" s="5" t="n">
        <v>1</v>
      </c>
      <c r="I279" s="5" t="n">
        <v>1</v>
      </c>
      <c r="J279">
        <f>H279*I279</f>
        <v/>
      </c>
      <c r="K279" t="n">
        <v>45.6</v>
      </c>
      <c r="L279" t="n">
        <v>45.6</v>
      </c>
    </row>
    <row r="280">
      <c r="A280" t="inlineStr">
        <is>
          <t>2026-05</t>
        </is>
      </c>
      <c r="B280" t="inlineStr">
        <is>
          <t>2026-05-05</t>
        </is>
      </c>
      <c r="C280" t="inlineStr">
        <is>
          <t>CC-CC001-0071</t>
        </is>
      </c>
      <c r="D280" t="inlineStr">
        <is>
          <t>PJ</t>
        </is>
      </c>
      <c r="E280" t="inlineStr">
        <is>
          <t>Yow Seng Sdn Bhd</t>
        </is>
      </c>
      <c r="F280" t="inlineStr">
        <is>
          <t>Telur Omega</t>
        </is>
      </c>
      <c r="G280" t="inlineStr">
        <is>
          <t>10pcs Pack</t>
        </is>
      </c>
      <c r="H280" s="5" t="n">
        <v>15</v>
      </c>
      <c r="I280" s="5" t="n">
        <v>10</v>
      </c>
      <c r="J280">
        <f>H280*I280</f>
        <v/>
      </c>
      <c r="K280" t="n">
        <v>7.5</v>
      </c>
      <c r="L280" t="n">
        <v>112.5</v>
      </c>
    </row>
    <row r="281">
      <c r="A281" t="inlineStr">
        <is>
          <t>2026-05</t>
        </is>
      </c>
      <c r="B281" t="inlineStr">
        <is>
          <t>2026-05-08</t>
        </is>
      </c>
      <c r="C281" t="inlineStr">
        <is>
          <t>PC-CC001-0082</t>
        </is>
      </c>
      <c r="D281" t="inlineStr">
        <is>
          <t>PJ</t>
        </is>
      </c>
      <c r="E281" t="inlineStr">
        <is>
          <t>Ad-hoc Purchase</t>
        </is>
      </c>
      <c r="F281" t="inlineStr">
        <is>
          <t>Telur Omega</t>
        </is>
      </c>
      <c r="G281" t="inlineStr">
        <is>
          <t>10pcs Pack</t>
        </is>
      </c>
      <c r="H281" s="5" t="n">
        <v>5</v>
      </c>
      <c r="I281" s="5" t="n">
        <v>10</v>
      </c>
      <c r="J281">
        <f>H281*I281</f>
        <v/>
      </c>
      <c r="K281" t="n">
        <v>6.5</v>
      </c>
      <c r="L281" t="n">
        <v>32.5</v>
      </c>
    </row>
    <row r="282">
      <c r="A282" t="inlineStr">
        <is>
          <t>2026-05</t>
        </is>
      </c>
      <c r="B282" t="inlineStr">
        <is>
          <t>2026-05-08</t>
        </is>
      </c>
      <c r="C282" t="inlineStr">
        <is>
          <t>PC-CC003-0049</t>
        </is>
      </c>
      <c r="D282" t="inlineStr">
        <is>
          <t>TAM</t>
        </is>
      </c>
      <c r="E282" t="inlineStr">
        <is>
          <t>Ad-hoc Purchase</t>
        </is>
      </c>
      <c r="F282" t="inlineStr">
        <is>
          <t>Telur Omega</t>
        </is>
      </c>
      <c r="G282" t="inlineStr">
        <is>
          <t>10pcs Pack</t>
        </is>
      </c>
      <c r="H282" s="5" t="n">
        <v>1</v>
      </c>
      <c r="I282" s="5" t="n">
        <v>10</v>
      </c>
      <c r="J282">
        <f>H282*I282</f>
        <v/>
      </c>
      <c r="K282" t="n">
        <v>10.25</v>
      </c>
      <c r="L282" t="n">
        <v>10.25</v>
      </c>
    </row>
    <row r="283">
      <c r="A283" t="inlineStr">
        <is>
          <t>2026-05</t>
        </is>
      </c>
      <c r="B283" t="inlineStr">
        <is>
          <t>2026-05-08</t>
        </is>
      </c>
      <c r="C283" t="inlineStr">
        <is>
          <t>PC-CC001-0088</t>
        </is>
      </c>
      <c r="D283" t="inlineStr">
        <is>
          <t>PJ</t>
        </is>
      </c>
      <c r="E283" t="inlineStr">
        <is>
          <t>Ad-hoc Purchase</t>
        </is>
      </c>
      <c r="F283" t="inlineStr">
        <is>
          <t>Telur Omega</t>
        </is>
      </c>
      <c r="G283" t="inlineStr">
        <is>
          <t>10pcs Pack</t>
        </is>
      </c>
      <c r="H283" s="5" t="n">
        <v>3</v>
      </c>
      <c r="I283" s="5" t="n">
        <v>10</v>
      </c>
      <c r="J283">
        <f>H283*I283</f>
        <v/>
      </c>
      <c r="K283" t="n">
        <v>6.5</v>
      </c>
      <c r="L283" t="n">
        <v>19.5</v>
      </c>
    </row>
    <row r="284">
      <c r="A284" t="inlineStr">
        <is>
          <t>2026-05</t>
        </is>
      </c>
      <c r="B284" t="inlineStr">
        <is>
          <t>2026-05-10</t>
        </is>
      </c>
      <c r="C284" t="inlineStr">
        <is>
          <t>CC-CC003-0046</t>
        </is>
      </c>
      <c r="D284" t="inlineStr">
        <is>
          <t>TAM</t>
        </is>
      </c>
      <c r="E284" t="inlineStr">
        <is>
          <t>Yow Seng Sdn Bhd</t>
        </is>
      </c>
      <c r="F284" t="inlineStr">
        <is>
          <t>Telur Omega</t>
        </is>
      </c>
      <c r="G284" t="inlineStr">
        <is>
          <t>10pcs Pack</t>
        </is>
      </c>
      <c r="H284" s="5" t="n">
        <v>15</v>
      </c>
      <c r="I284" s="5" t="n">
        <v>10</v>
      </c>
      <c r="J284">
        <f>H284*I284</f>
        <v/>
      </c>
      <c r="K284" t="n">
        <v>7.5</v>
      </c>
      <c r="L284" t="n">
        <v>112.5</v>
      </c>
    </row>
    <row r="285">
      <c r="A285" t="inlineStr">
        <is>
          <t>2026-05</t>
        </is>
      </c>
      <c r="B285" t="inlineStr">
        <is>
          <t>2026-05-10</t>
        </is>
      </c>
      <c r="C285" t="inlineStr">
        <is>
          <t>CC-CC002-0074</t>
        </is>
      </c>
      <c r="D285" t="inlineStr">
        <is>
          <t>SA</t>
        </is>
      </c>
      <c r="E285" t="inlineStr">
        <is>
          <t>Yow Seng Sdn Bhd</t>
        </is>
      </c>
      <c r="F285" t="inlineStr">
        <is>
          <t>Telur Omega</t>
        </is>
      </c>
      <c r="G285" t="inlineStr">
        <is>
          <t>10pcs Pack</t>
        </is>
      </c>
      <c r="H285" s="5" t="n">
        <v>30</v>
      </c>
      <c r="I285" s="5" t="n">
        <v>10</v>
      </c>
      <c r="J285">
        <f>H285*I285</f>
        <v/>
      </c>
      <c r="K285" t="n">
        <v>7.5</v>
      </c>
      <c r="L285" t="n">
        <v>225</v>
      </c>
    </row>
    <row r="286">
      <c r="A286" t="inlineStr">
        <is>
          <t>2026-05</t>
        </is>
      </c>
      <c r="B286" t="inlineStr">
        <is>
          <t>2026-05-13</t>
        </is>
      </c>
      <c r="C286" t="inlineStr">
        <is>
          <t>CC-CC001-0122</t>
        </is>
      </c>
      <c r="D286" t="inlineStr">
        <is>
          <t>PJ</t>
        </is>
      </c>
      <c r="E286" t="inlineStr">
        <is>
          <t>Yow Seng Sdn Bhd</t>
        </is>
      </c>
      <c r="F286" t="inlineStr">
        <is>
          <t>Telur Omega</t>
        </is>
      </c>
      <c r="G286" t="inlineStr">
        <is>
          <t>10pcs Pack</t>
        </is>
      </c>
      <c r="H286" s="5" t="n">
        <v>15</v>
      </c>
      <c r="I286" s="5" t="n">
        <v>10</v>
      </c>
      <c r="J286">
        <f>H286*I286</f>
        <v/>
      </c>
      <c r="K286" t="n">
        <v>7.5</v>
      </c>
      <c r="L286" t="n">
        <v>112.5</v>
      </c>
    </row>
    <row r="287">
      <c r="A287" t="inlineStr">
        <is>
          <t>2026-05</t>
        </is>
      </c>
      <c r="B287" t="inlineStr">
        <is>
          <t>2026-05-13</t>
        </is>
      </c>
      <c r="C287" t="inlineStr">
        <is>
          <t>CC-CC002-0103</t>
        </is>
      </c>
      <c r="D287" t="inlineStr">
        <is>
          <t>SA</t>
        </is>
      </c>
      <c r="E287" t="inlineStr">
        <is>
          <t>Yow Seng Sdn Bhd</t>
        </is>
      </c>
      <c r="F287" t="inlineStr">
        <is>
          <t>Telur Omega</t>
        </is>
      </c>
      <c r="G287" t="inlineStr">
        <is>
          <t>10pcs Pack</t>
        </is>
      </c>
      <c r="H287" s="5" t="n">
        <v>15</v>
      </c>
      <c r="I287" s="5" t="n">
        <v>10</v>
      </c>
      <c r="J287">
        <f>H287*I287</f>
        <v/>
      </c>
      <c r="K287" t="n">
        <v>7.5</v>
      </c>
      <c r="L287" t="n">
        <v>112.5</v>
      </c>
    </row>
    <row r="288">
      <c r="A288" t="inlineStr">
        <is>
          <t>2026-05</t>
        </is>
      </c>
      <c r="B288" t="inlineStr">
        <is>
          <t>2026-05-13</t>
        </is>
      </c>
      <c r="C288" t="inlineStr">
        <is>
          <t>CC-CC003-0072</t>
        </is>
      </c>
      <c r="D288" t="inlineStr">
        <is>
          <t>TAM</t>
        </is>
      </c>
      <c r="E288" t="inlineStr">
        <is>
          <t>Yow Seng Sdn Bhd</t>
        </is>
      </c>
      <c r="F288" t="inlineStr">
        <is>
          <t>Telur Omega</t>
        </is>
      </c>
      <c r="G288" t="inlineStr">
        <is>
          <t>10pcs Pack</t>
        </is>
      </c>
      <c r="H288" s="5" t="n">
        <v>15</v>
      </c>
      <c r="I288" s="5" t="n">
        <v>10</v>
      </c>
      <c r="J288">
        <f>H288*I288</f>
        <v/>
      </c>
      <c r="K288" t="n">
        <v>7.5</v>
      </c>
      <c r="L288" t="n">
        <v>112.5</v>
      </c>
    </row>
    <row r="289">
      <c r="A289" t="inlineStr">
        <is>
          <t>2026-05</t>
        </is>
      </c>
      <c r="B289" t="inlineStr">
        <is>
          <t>2026-05-14</t>
        </is>
      </c>
      <c r="C289" t="inlineStr">
        <is>
          <t>PC-CC001-0106</t>
        </is>
      </c>
      <c r="D289" t="inlineStr">
        <is>
          <t>PJ</t>
        </is>
      </c>
      <c r="E289" t="inlineStr">
        <is>
          <t>Ad-hoc Purchase</t>
        </is>
      </c>
      <c r="F289" t="inlineStr">
        <is>
          <t>Telur Omega</t>
        </is>
      </c>
      <c r="G289" t="inlineStr">
        <is>
          <t>10pcs Pack</t>
        </is>
      </c>
      <c r="H289" s="5" t="n">
        <v>3</v>
      </c>
      <c r="I289" s="5" t="n">
        <v>10</v>
      </c>
      <c r="J289">
        <f>H289*I289</f>
        <v/>
      </c>
      <c r="K289" t="n">
        <v>6.5</v>
      </c>
      <c r="L289" t="n">
        <v>19.5</v>
      </c>
    </row>
    <row r="290">
      <c r="A290" t="inlineStr">
        <is>
          <t>2026-05</t>
        </is>
      </c>
      <c r="B290" t="inlineStr">
        <is>
          <t>2026-05-14</t>
        </is>
      </c>
      <c r="C290" t="inlineStr">
        <is>
          <t>PC-CC001-0107</t>
        </is>
      </c>
      <c r="D290" t="inlineStr">
        <is>
          <t>PJ</t>
        </is>
      </c>
      <c r="E290" t="inlineStr">
        <is>
          <t>Ad-hoc Purchase</t>
        </is>
      </c>
      <c r="F290" t="inlineStr">
        <is>
          <t>Telur Omega</t>
        </is>
      </c>
      <c r="G290" t="inlineStr">
        <is>
          <t>10pcs Pack</t>
        </is>
      </c>
      <c r="H290" s="5" t="n">
        <v>3</v>
      </c>
      <c r="I290" s="5" t="n">
        <v>10</v>
      </c>
      <c r="J290">
        <f>H290*I290</f>
        <v/>
      </c>
      <c r="K290" t="n">
        <v>6.5</v>
      </c>
      <c r="L290" t="n">
        <v>19.5</v>
      </c>
    </row>
    <row r="291">
      <c r="A291" t="inlineStr">
        <is>
          <t>2026-05</t>
        </is>
      </c>
      <c r="B291" t="inlineStr">
        <is>
          <t>2026-05-14</t>
        </is>
      </c>
      <c r="C291" t="inlineStr">
        <is>
          <t>PC-CC001-0109</t>
        </is>
      </c>
      <c r="D291" t="inlineStr">
        <is>
          <t>PJ</t>
        </is>
      </c>
      <c r="E291" t="inlineStr">
        <is>
          <t>Ad-hoc Purchase</t>
        </is>
      </c>
      <c r="F291" t="inlineStr">
        <is>
          <t>Telur Omega</t>
        </is>
      </c>
      <c r="G291" t="inlineStr">
        <is>
          <t>10pcs Pack</t>
        </is>
      </c>
      <c r="H291" s="5" t="n">
        <v>3</v>
      </c>
      <c r="I291" s="5" t="n">
        <v>10</v>
      </c>
      <c r="J291">
        <f>H291*I291</f>
        <v/>
      </c>
      <c r="K291" t="n">
        <v>6.5</v>
      </c>
      <c r="L291" t="n">
        <v>19.5</v>
      </c>
    </row>
    <row r="292">
      <c r="A292" t="inlineStr">
        <is>
          <t>2026-05</t>
        </is>
      </c>
      <c r="B292" t="inlineStr">
        <is>
          <t>2026-05-14</t>
        </is>
      </c>
      <c r="C292" t="inlineStr">
        <is>
          <t>PC-CC001-0119</t>
        </is>
      </c>
      <c r="D292" t="inlineStr">
        <is>
          <t>PJ</t>
        </is>
      </c>
      <c r="E292" t="inlineStr">
        <is>
          <t>Ad-hoc Purchase</t>
        </is>
      </c>
      <c r="F292" t="inlineStr">
        <is>
          <t>Telur Omega</t>
        </is>
      </c>
      <c r="G292" t="inlineStr">
        <is>
          <t>10pcs Pack</t>
        </is>
      </c>
      <c r="H292" s="5" t="n">
        <v>4</v>
      </c>
      <c r="I292" s="5" t="n">
        <v>10</v>
      </c>
      <c r="J292">
        <f>H292*I292</f>
        <v/>
      </c>
      <c r="K292" t="n">
        <v>6.5</v>
      </c>
      <c r="L292" t="n">
        <v>26</v>
      </c>
    </row>
    <row r="293">
      <c r="A293" t="inlineStr">
        <is>
          <t>2026-05</t>
        </is>
      </c>
      <c r="B293" t="inlineStr">
        <is>
          <t>2026-05-14</t>
        </is>
      </c>
      <c r="C293" t="inlineStr">
        <is>
          <t>PC-CC001-0124</t>
        </is>
      </c>
      <c r="D293" t="inlineStr">
        <is>
          <t>PJ</t>
        </is>
      </c>
      <c r="E293" t="inlineStr">
        <is>
          <t>Ad-hoc Purchase</t>
        </is>
      </c>
      <c r="F293" t="inlineStr">
        <is>
          <t>Telur Omega</t>
        </is>
      </c>
      <c r="G293" t="inlineStr">
        <is>
          <t>10pcs Pack</t>
        </is>
      </c>
      <c r="H293" s="5" t="n">
        <v>4</v>
      </c>
      <c r="I293" s="5" t="n">
        <v>10</v>
      </c>
      <c r="J293">
        <f>H293*I293</f>
        <v/>
      </c>
      <c r="K293" t="n">
        <v>6.5</v>
      </c>
      <c r="L293" t="n">
        <v>26</v>
      </c>
    </row>
    <row r="294">
      <c r="A294" t="inlineStr">
        <is>
          <t>2026-05</t>
        </is>
      </c>
      <c r="B294" t="inlineStr">
        <is>
          <t>2026-05-20</t>
        </is>
      </c>
      <c r="C294" t="inlineStr">
        <is>
          <t>CC-CC002-0128</t>
        </is>
      </c>
      <c r="D294" t="inlineStr">
        <is>
          <t>SA</t>
        </is>
      </c>
      <c r="E294" t="inlineStr">
        <is>
          <t>Yow Seng Sdn Bhd</t>
        </is>
      </c>
      <c r="F294" t="inlineStr">
        <is>
          <t>Telur Omega</t>
        </is>
      </c>
      <c r="G294" t="inlineStr">
        <is>
          <t>10pcs Pack</t>
        </is>
      </c>
      <c r="H294" s="5" t="n">
        <v>15</v>
      </c>
      <c r="I294" s="5" t="n">
        <v>10</v>
      </c>
      <c r="J294">
        <f>H294*I294</f>
        <v/>
      </c>
      <c r="K294" t="n">
        <v>7.5</v>
      </c>
      <c r="L294" t="n">
        <v>112.5</v>
      </c>
    </row>
    <row r="295">
      <c r="A295" t="inlineStr">
        <is>
          <t>2026-05</t>
        </is>
      </c>
      <c r="B295" t="inlineStr">
        <is>
          <t>2026-05-20</t>
        </is>
      </c>
      <c r="C295" t="inlineStr">
        <is>
          <t>CC-CC003-0090</t>
        </is>
      </c>
      <c r="D295" t="inlineStr">
        <is>
          <t>TAM</t>
        </is>
      </c>
      <c r="E295" t="inlineStr">
        <is>
          <t>Yow Seng Sdn Bhd</t>
        </is>
      </c>
      <c r="F295" t="inlineStr">
        <is>
          <t>Telur Omega</t>
        </is>
      </c>
      <c r="G295" t="inlineStr">
        <is>
          <t>10pcs Pack</t>
        </is>
      </c>
      <c r="H295" s="5" t="n">
        <v>15</v>
      </c>
      <c r="I295" s="5" t="n">
        <v>10</v>
      </c>
      <c r="J295">
        <f>H295*I295</f>
        <v/>
      </c>
      <c r="K295" t="n">
        <v>10.1</v>
      </c>
      <c r="L295" t="n">
        <v>151.5</v>
      </c>
    </row>
    <row r="296">
      <c r="A296" t="inlineStr">
        <is>
          <t>2026-05</t>
        </is>
      </c>
      <c r="B296" t="inlineStr">
        <is>
          <t>2026-05-20</t>
        </is>
      </c>
      <c r="C296" t="inlineStr">
        <is>
          <t>CC-CC001-0138</t>
        </is>
      </c>
      <c r="D296" t="inlineStr">
        <is>
          <t>PJ</t>
        </is>
      </c>
      <c r="E296" t="inlineStr">
        <is>
          <t>Yow Seng Sdn Bhd</t>
        </is>
      </c>
      <c r="F296" t="inlineStr">
        <is>
          <t>Telur Omega</t>
        </is>
      </c>
      <c r="G296" t="inlineStr">
        <is>
          <t>10pcs Pack</t>
        </is>
      </c>
      <c r="H296" s="5" t="n">
        <v>30</v>
      </c>
      <c r="I296" s="5" t="n">
        <v>10</v>
      </c>
      <c r="J296">
        <f>H296*I296</f>
        <v/>
      </c>
      <c r="K296" t="n">
        <v>8.800000000000001</v>
      </c>
      <c r="L296" t="n">
        <v>264</v>
      </c>
    </row>
    <row r="297">
      <c r="A297" t="inlineStr">
        <is>
          <t>2026-05</t>
        </is>
      </c>
      <c r="B297" t="inlineStr">
        <is>
          <t>2026-05-24</t>
        </is>
      </c>
      <c r="C297" t="inlineStr">
        <is>
          <t>PC-CC001-0130</t>
        </is>
      </c>
      <c r="D297" t="inlineStr">
        <is>
          <t>PJ</t>
        </is>
      </c>
      <c r="E297" t="inlineStr">
        <is>
          <t>Ad-hoc Purchase</t>
        </is>
      </c>
      <c r="F297" t="inlineStr">
        <is>
          <t>Telur Omega</t>
        </is>
      </c>
      <c r="G297" t="inlineStr">
        <is>
          <t>10pcs Pack</t>
        </is>
      </c>
      <c r="H297" s="5" t="n">
        <v>11</v>
      </c>
      <c r="I297" s="5" t="n">
        <v>10</v>
      </c>
      <c r="J297">
        <f>H297*I297</f>
        <v/>
      </c>
      <c r="K297" t="n">
        <v>6.5</v>
      </c>
      <c r="L297" t="n">
        <v>71.5</v>
      </c>
    </row>
    <row r="298">
      <c r="A298" t="inlineStr">
        <is>
          <t>2026-05</t>
        </is>
      </c>
      <c r="B298" t="inlineStr">
        <is>
          <t>2026-05-24</t>
        </is>
      </c>
      <c r="C298" t="inlineStr">
        <is>
          <t>PC-CC002-0070</t>
        </is>
      </c>
      <c r="D298" t="inlineStr">
        <is>
          <t>SA</t>
        </is>
      </c>
      <c r="E298" t="inlineStr">
        <is>
          <t>Ad-hoc Purchase</t>
        </is>
      </c>
      <c r="F298" t="inlineStr">
        <is>
          <t>Telur Omega</t>
        </is>
      </c>
      <c r="G298" t="inlineStr">
        <is>
          <t>10pcs Pack</t>
        </is>
      </c>
      <c r="H298" s="5" t="n">
        <v>6</v>
      </c>
      <c r="I298" s="5" t="n">
        <v>10</v>
      </c>
      <c r="J298">
        <f>H298*I298</f>
        <v/>
      </c>
      <c r="K298" t="n">
        <v>7.6</v>
      </c>
      <c r="L298" t="n">
        <v>45.6</v>
      </c>
    </row>
    <row r="299">
      <c r="A299" t="inlineStr">
        <is>
          <t>2026-05</t>
        </is>
      </c>
      <c r="B299" t="inlineStr">
        <is>
          <t>2026-05-24</t>
        </is>
      </c>
      <c r="C299" t="inlineStr">
        <is>
          <t>PC-CC003-0070</t>
        </is>
      </c>
      <c r="D299" t="inlineStr">
        <is>
          <t>TAM</t>
        </is>
      </c>
      <c r="E299" t="inlineStr">
        <is>
          <t>Ad-hoc Purchase</t>
        </is>
      </c>
      <c r="F299" t="inlineStr">
        <is>
          <t>Telur Omega</t>
        </is>
      </c>
      <c r="G299" t="inlineStr">
        <is>
          <t>10pcs Pack</t>
        </is>
      </c>
      <c r="H299" s="5" t="n">
        <v>1</v>
      </c>
      <c r="I299" s="5" t="n">
        <v>10</v>
      </c>
      <c r="J299">
        <f>H299*I299</f>
        <v/>
      </c>
      <c r="K299" t="n">
        <v>9.1</v>
      </c>
      <c r="L299" t="n">
        <v>9.1</v>
      </c>
    </row>
    <row r="300">
      <c r="A300" t="inlineStr">
        <is>
          <t>2026-05</t>
        </is>
      </c>
      <c r="B300" t="inlineStr">
        <is>
          <t>2026-05-24</t>
        </is>
      </c>
      <c r="C300" t="inlineStr">
        <is>
          <t>PC-CC001-0147</t>
        </is>
      </c>
      <c r="D300" t="inlineStr">
        <is>
          <t>PJ</t>
        </is>
      </c>
      <c r="E300" t="inlineStr">
        <is>
          <t>Ad-hoc Purchase</t>
        </is>
      </c>
      <c r="F300" t="inlineStr">
        <is>
          <t>Telur Omega</t>
        </is>
      </c>
      <c r="G300" t="inlineStr">
        <is>
          <t>10pcs Pack</t>
        </is>
      </c>
      <c r="H300" s="5" t="n">
        <v>4</v>
      </c>
      <c r="I300" s="5" t="n">
        <v>10</v>
      </c>
      <c r="J300">
        <f>H300*I300</f>
        <v/>
      </c>
      <c r="K300" t="n">
        <v>6.5</v>
      </c>
      <c r="L300" t="n">
        <v>26</v>
      </c>
    </row>
    <row r="301">
      <c r="A301" t="inlineStr">
        <is>
          <t>2026-05</t>
        </is>
      </c>
      <c r="B301" t="inlineStr">
        <is>
          <t>2026-05-24</t>
        </is>
      </c>
      <c r="C301" t="inlineStr">
        <is>
          <t>PC-CC001-0149</t>
        </is>
      </c>
      <c r="D301" t="inlineStr">
        <is>
          <t>PJ</t>
        </is>
      </c>
      <c r="E301" t="inlineStr">
        <is>
          <t>Ad-hoc Purchase</t>
        </is>
      </c>
      <c r="F301" t="inlineStr">
        <is>
          <t>Telur Omega</t>
        </is>
      </c>
      <c r="G301" t="inlineStr">
        <is>
          <t>10pcs Pack</t>
        </is>
      </c>
      <c r="H301" s="5" t="n">
        <v>3</v>
      </c>
      <c r="I301" s="5" t="n">
        <v>10</v>
      </c>
      <c r="J301">
        <f>H301*I301</f>
        <v/>
      </c>
      <c r="K301" t="n">
        <v>6.5</v>
      </c>
      <c r="L301" t="n">
        <v>19.5</v>
      </c>
    </row>
    <row r="302">
      <c r="A302" t="inlineStr">
        <is>
          <t>2026-05</t>
        </is>
      </c>
      <c r="B302" t="inlineStr">
        <is>
          <t>2026-05-24</t>
        </is>
      </c>
      <c r="C302" t="inlineStr">
        <is>
          <t>CC-CC002-0140</t>
        </is>
      </c>
      <c r="D302" t="inlineStr">
        <is>
          <t>SA</t>
        </is>
      </c>
      <c r="E302" t="inlineStr">
        <is>
          <t>Yow Seng Sdn Bhd</t>
        </is>
      </c>
      <c r="F302" t="inlineStr">
        <is>
          <t>Telur Omega</t>
        </is>
      </c>
      <c r="G302" t="inlineStr">
        <is>
          <t>10pcs Pack</t>
        </is>
      </c>
      <c r="H302" s="5" t="n">
        <v>15</v>
      </c>
      <c r="I302" s="5" t="n">
        <v>10</v>
      </c>
      <c r="J302">
        <f>H302*I302</f>
        <v/>
      </c>
      <c r="K302" t="n">
        <v>7.5</v>
      </c>
      <c r="L302" t="n">
        <v>112.5</v>
      </c>
    </row>
    <row r="303">
      <c r="A303" t="inlineStr">
        <is>
          <t>2026-05</t>
        </is>
      </c>
      <c r="B303" t="inlineStr">
        <is>
          <t>2026-05-24</t>
        </is>
      </c>
      <c r="C303" t="inlineStr">
        <is>
          <t>CC-CC001-0150</t>
        </is>
      </c>
      <c r="D303" t="inlineStr">
        <is>
          <t>PJ</t>
        </is>
      </c>
      <c r="E303" t="inlineStr">
        <is>
          <t>Yow Seng Sdn Bhd</t>
        </is>
      </c>
      <c r="F303" t="inlineStr">
        <is>
          <t>Telur Omega</t>
        </is>
      </c>
      <c r="G303" t="inlineStr">
        <is>
          <t>10pcs Pack</t>
        </is>
      </c>
      <c r="H303" s="5" t="n">
        <v>30</v>
      </c>
      <c r="I303" s="5" t="n">
        <v>10</v>
      </c>
      <c r="J303">
        <f>H303*I303</f>
        <v/>
      </c>
      <c r="K303" t="n">
        <v>7.5</v>
      </c>
      <c r="L303" t="n">
        <v>225</v>
      </c>
    </row>
    <row r="304">
      <c r="A304" t="inlineStr">
        <is>
          <t>2026-05</t>
        </is>
      </c>
      <c r="B304" t="inlineStr">
        <is>
          <t>2026-05-24</t>
        </is>
      </c>
      <c r="C304" t="inlineStr">
        <is>
          <t>CC-CC003-0100</t>
        </is>
      </c>
      <c r="D304" t="inlineStr">
        <is>
          <t>TAM</t>
        </is>
      </c>
      <c r="E304" t="inlineStr">
        <is>
          <t>Yow Seng Sdn Bhd</t>
        </is>
      </c>
      <c r="F304" t="inlineStr">
        <is>
          <t>Telur Omega</t>
        </is>
      </c>
      <c r="G304" t="inlineStr">
        <is>
          <t>10pcs Pack</t>
        </is>
      </c>
      <c r="H304" s="5" t="n">
        <v>15</v>
      </c>
      <c r="I304" s="5" t="n">
        <v>10</v>
      </c>
      <c r="J304">
        <f>H304*I304</f>
        <v/>
      </c>
      <c r="K304" t="n">
        <v>7.5</v>
      </c>
      <c r="L304" t="n">
        <v>112.5</v>
      </c>
    </row>
    <row r="305">
      <c r="A305" t="inlineStr">
        <is>
          <t>2026-05</t>
        </is>
      </c>
      <c r="B305" t="inlineStr">
        <is>
          <t>2026-05-25</t>
        </is>
      </c>
      <c r="C305" t="inlineStr">
        <is>
          <t>PC-CC001-0173</t>
        </is>
      </c>
      <c r="D305" t="inlineStr">
        <is>
          <t>PJ</t>
        </is>
      </c>
      <c r="E305" t="inlineStr">
        <is>
          <t>Ad-hoc Purchase</t>
        </is>
      </c>
      <c r="F305" t="inlineStr">
        <is>
          <t>Telur Omega</t>
        </is>
      </c>
      <c r="G305" t="inlineStr">
        <is>
          <t>10pcs Pack</t>
        </is>
      </c>
      <c r="H305" s="5" t="n">
        <v>5</v>
      </c>
      <c r="I305" s="5" t="n">
        <v>10</v>
      </c>
      <c r="J305">
        <f>H305*I305</f>
        <v/>
      </c>
      <c r="K305" t="n">
        <v>7.9</v>
      </c>
      <c r="L305" t="n">
        <v>39.5</v>
      </c>
    </row>
    <row r="306">
      <c r="A306" t="inlineStr">
        <is>
          <t>2026-05</t>
        </is>
      </c>
      <c r="B306" t="inlineStr">
        <is>
          <t>2026-05-25</t>
        </is>
      </c>
      <c r="C306" t="inlineStr">
        <is>
          <t>PC-CC001-0178</t>
        </is>
      </c>
      <c r="D306" t="inlineStr">
        <is>
          <t>PJ</t>
        </is>
      </c>
      <c r="E306" t="inlineStr">
        <is>
          <t>Ad-hoc Purchase</t>
        </is>
      </c>
      <c r="F306" t="inlineStr">
        <is>
          <t>Telur Omega</t>
        </is>
      </c>
      <c r="G306" t="inlineStr">
        <is>
          <t>10pcs Pack</t>
        </is>
      </c>
      <c r="H306" s="5" t="n">
        <v>9</v>
      </c>
      <c r="I306" s="5" t="n">
        <v>10</v>
      </c>
      <c r="J306">
        <f>H306*I306</f>
        <v/>
      </c>
      <c r="K306" t="n">
        <v>6.5</v>
      </c>
      <c r="L306" t="n">
        <v>58.5</v>
      </c>
    </row>
    <row r="307">
      <c r="A307" t="inlineStr">
        <is>
          <t>2026-05</t>
        </is>
      </c>
      <c r="B307" t="inlineStr">
        <is>
          <t>2026-05-31</t>
        </is>
      </c>
      <c r="C307" t="inlineStr">
        <is>
          <t>CC-CC002-0151</t>
        </is>
      </c>
      <c r="D307" t="inlineStr">
        <is>
          <t>SA</t>
        </is>
      </c>
      <c r="E307" t="inlineStr">
        <is>
          <t>Yow Seng Sdn Bhd</t>
        </is>
      </c>
      <c r="F307" t="inlineStr">
        <is>
          <t>Telur Omega</t>
        </is>
      </c>
      <c r="G307" t="inlineStr">
        <is>
          <t>10pcs Pack</t>
        </is>
      </c>
      <c r="H307" s="5" t="n">
        <v>30</v>
      </c>
      <c r="I307" s="5" t="n">
        <v>10</v>
      </c>
      <c r="J307">
        <f>H307*I307</f>
        <v/>
      </c>
      <c r="K307" t="n">
        <v>7.5</v>
      </c>
      <c r="L307" t="n">
        <v>225</v>
      </c>
    </row>
    <row r="308">
      <c r="A308" t="inlineStr">
        <is>
          <t>2026-05</t>
        </is>
      </c>
      <c r="B308" t="inlineStr">
        <is>
          <t>2026-05-31</t>
        </is>
      </c>
      <c r="C308" t="inlineStr">
        <is>
          <t>CC-CC003-0109</t>
        </is>
      </c>
      <c r="D308" t="inlineStr">
        <is>
          <t>TAM</t>
        </is>
      </c>
      <c r="E308" t="inlineStr">
        <is>
          <t>Yow Seng Sdn Bhd</t>
        </is>
      </c>
      <c r="F308" t="inlineStr">
        <is>
          <t>Telur Omega</t>
        </is>
      </c>
      <c r="G308" t="inlineStr">
        <is>
          <t>10pcs Pack</t>
        </is>
      </c>
      <c r="H308" s="5" t="n">
        <v>30</v>
      </c>
      <c r="I308" s="5" t="n">
        <v>10</v>
      </c>
      <c r="J308">
        <f>H308*I308</f>
        <v/>
      </c>
      <c r="K308" t="n">
        <v>7.5</v>
      </c>
      <c r="L308" t="n">
        <v>225</v>
      </c>
    </row>
    <row r="309">
      <c r="A309" t="inlineStr">
        <is>
          <t>2026-05</t>
        </is>
      </c>
      <c r="B309" t="inlineStr">
        <is>
          <t>2026-05-31</t>
        </is>
      </c>
      <c r="C309" t="inlineStr">
        <is>
          <t>CC-CC001-0159</t>
        </is>
      </c>
      <c r="D309" t="inlineStr">
        <is>
          <t>PJ</t>
        </is>
      </c>
      <c r="E309" t="inlineStr">
        <is>
          <t>Yow Seng Sdn Bhd</t>
        </is>
      </c>
      <c r="F309" t="inlineStr">
        <is>
          <t>Telur Omega</t>
        </is>
      </c>
      <c r="G309" t="inlineStr">
        <is>
          <t>10pcs Pack</t>
        </is>
      </c>
      <c r="H309" s="5" t="n">
        <v>30</v>
      </c>
      <c r="I309" s="5" t="n">
        <v>10</v>
      </c>
      <c r="J309">
        <f>H309*I309</f>
        <v/>
      </c>
      <c r="K309" t="n">
        <v>7.5</v>
      </c>
      <c r="L309" t="n">
        <v>225</v>
      </c>
    </row>
    <row r="310">
      <c r="A310" t="inlineStr">
        <is>
          <t>2026-06</t>
        </is>
      </c>
      <c r="B310" t="inlineStr">
        <is>
          <t>2026-06-01</t>
        </is>
      </c>
      <c r="C310" t="inlineStr">
        <is>
          <t>CC-CC001-0171</t>
        </is>
      </c>
      <c r="D310" t="inlineStr">
        <is>
          <t>PJ</t>
        </is>
      </c>
      <c r="E310" t="inlineStr">
        <is>
          <t>Yow Seng Sdn Bhd</t>
        </is>
      </c>
      <c r="F310" t="inlineStr">
        <is>
          <t>Telur Omega</t>
        </is>
      </c>
      <c r="G310" t="inlineStr">
        <is>
          <t>10pcs Pack</t>
        </is>
      </c>
      <c r="H310" s="5" t="n">
        <v>15</v>
      </c>
      <c r="I310" s="5" t="n">
        <v>10</v>
      </c>
      <c r="J310">
        <f>H310*I310</f>
        <v/>
      </c>
      <c r="K310" t="n">
        <v>7.5</v>
      </c>
      <c r="L310" t="n">
        <v>112.5</v>
      </c>
    </row>
    <row r="311">
      <c r="A311" t="inlineStr">
        <is>
          <t>2026-06</t>
        </is>
      </c>
      <c r="B311" t="inlineStr">
        <is>
          <t>2026-06-01</t>
        </is>
      </c>
      <c r="C311" t="inlineStr">
        <is>
          <t>CC-CC003-0115</t>
        </is>
      </c>
      <c r="D311" t="inlineStr">
        <is>
          <t>TAM</t>
        </is>
      </c>
      <c r="E311" t="inlineStr">
        <is>
          <t>Yow Seng Sdn Bhd</t>
        </is>
      </c>
      <c r="F311" t="inlineStr">
        <is>
          <t>Telur Omega</t>
        </is>
      </c>
      <c r="G311" t="inlineStr">
        <is>
          <t>10pcs Pack</t>
        </is>
      </c>
      <c r="H311" s="5" t="n">
        <v>15</v>
      </c>
      <c r="I311" s="5" t="n">
        <v>10</v>
      </c>
      <c r="J311">
        <f>H311*I311</f>
        <v/>
      </c>
      <c r="K311" t="n">
        <v>7.5</v>
      </c>
      <c r="L311" t="n">
        <v>112.5</v>
      </c>
    </row>
    <row r="312">
      <c r="A312" t="inlineStr">
        <is>
          <t>2026-06</t>
        </is>
      </c>
      <c r="B312" t="inlineStr">
        <is>
          <t>2026-06-01</t>
        </is>
      </c>
      <c r="C312" t="inlineStr">
        <is>
          <t>CC-CC002-0162</t>
        </is>
      </c>
      <c r="D312" t="inlineStr">
        <is>
          <t>SA</t>
        </is>
      </c>
      <c r="E312" t="inlineStr">
        <is>
          <t>Yow Seng Sdn Bhd</t>
        </is>
      </c>
      <c r="F312" t="inlineStr">
        <is>
          <t>Telur Omega</t>
        </is>
      </c>
      <c r="G312" t="inlineStr">
        <is>
          <t>10pcs Pack</t>
        </is>
      </c>
      <c r="H312" s="5" t="n">
        <v>15</v>
      </c>
      <c r="I312" s="5" t="n">
        <v>10</v>
      </c>
      <c r="J312">
        <f>H312*I312</f>
        <v/>
      </c>
      <c r="K312" t="n">
        <v>7.5</v>
      </c>
      <c r="L312" t="n">
        <v>112.5</v>
      </c>
    </row>
    <row r="313">
      <c r="A313" t="inlineStr">
        <is>
          <t>2026-06</t>
        </is>
      </c>
      <c r="B313" t="inlineStr">
        <is>
          <t>2026-06-04</t>
        </is>
      </c>
      <c r="C313" t="inlineStr">
        <is>
          <t>CC-CC002-0172</t>
        </is>
      </c>
      <c r="D313" t="inlineStr">
        <is>
          <t>SA</t>
        </is>
      </c>
      <c r="E313" t="inlineStr">
        <is>
          <t>Yow Seng Sdn Bhd</t>
        </is>
      </c>
      <c r="F313" t="inlineStr">
        <is>
          <t>Telur Omega</t>
        </is>
      </c>
      <c r="G313" t="inlineStr">
        <is>
          <t>10pcs Pack</t>
        </is>
      </c>
      <c r="H313" s="5" t="n">
        <v>15</v>
      </c>
      <c r="I313" s="5" t="n">
        <v>10</v>
      </c>
      <c r="J313">
        <f>H313*I313</f>
        <v/>
      </c>
      <c r="K313" t="n">
        <v>7.5</v>
      </c>
      <c r="L313" t="n">
        <v>112.5</v>
      </c>
    </row>
    <row r="314">
      <c r="A314" t="inlineStr">
        <is>
          <t>2026-06</t>
        </is>
      </c>
      <c r="B314" t="inlineStr">
        <is>
          <t>2026-06-04</t>
        </is>
      </c>
      <c r="C314" t="inlineStr">
        <is>
          <t>CC-CC001-0182</t>
        </is>
      </c>
      <c r="D314" t="inlineStr">
        <is>
          <t>PJ</t>
        </is>
      </c>
      <c r="E314" t="inlineStr">
        <is>
          <t>Yow Seng Sdn Bhd</t>
        </is>
      </c>
      <c r="F314" t="inlineStr">
        <is>
          <t>Telur Omega</t>
        </is>
      </c>
      <c r="G314" t="inlineStr">
        <is>
          <t>10pcs Pack</t>
        </is>
      </c>
      <c r="H314" s="5" t="n">
        <v>30</v>
      </c>
      <c r="I314" s="5" t="n">
        <v>10</v>
      </c>
      <c r="J314">
        <f>H314*I314</f>
        <v/>
      </c>
      <c r="K314" t="n">
        <v>7</v>
      </c>
      <c r="L314" t="n">
        <v>210</v>
      </c>
    </row>
    <row r="315">
      <c r="A315" t="inlineStr">
        <is>
          <t>2026-06</t>
        </is>
      </c>
      <c r="B315" t="inlineStr">
        <is>
          <t>2026-06-04</t>
        </is>
      </c>
      <c r="C315" t="inlineStr">
        <is>
          <t>CC-CC003-0125</t>
        </is>
      </c>
      <c r="D315" t="inlineStr">
        <is>
          <t>TAM</t>
        </is>
      </c>
      <c r="E315" t="inlineStr">
        <is>
          <t>Yow Seng Sdn Bhd</t>
        </is>
      </c>
      <c r="F315" t="inlineStr">
        <is>
          <t>Telur Omega</t>
        </is>
      </c>
      <c r="G315" t="inlineStr">
        <is>
          <t>10pcs Pack</t>
        </is>
      </c>
      <c r="H315" s="5" t="n">
        <v>15</v>
      </c>
      <c r="I315" s="5" t="n">
        <v>10</v>
      </c>
      <c r="J315">
        <f>H315*I315</f>
        <v/>
      </c>
      <c r="K315" t="n">
        <v>7</v>
      </c>
      <c r="L315" t="n">
        <v>105</v>
      </c>
    </row>
    <row r="316">
      <c r="A316" t="inlineStr">
        <is>
          <t>2026-06</t>
        </is>
      </c>
      <c r="B316" t="inlineStr">
        <is>
          <t>2026-06-10</t>
        </is>
      </c>
      <c r="C316" t="inlineStr">
        <is>
          <t>CC-CC001-0198</t>
        </is>
      </c>
      <c r="D316" t="inlineStr">
        <is>
          <t>PJ</t>
        </is>
      </c>
      <c r="E316" t="inlineStr">
        <is>
          <t>Yow Seng Sdn Bhd</t>
        </is>
      </c>
      <c r="F316" t="inlineStr">
        <is>
          <t>Telur Omega</t>
        </is>
      </c>
      <c r="G316" t="inlineStr">
        <is>
          <t>10pcs Pack</t>
        </is>
      </c>
      <c r="H316" s="5" t="n">
        <v>15</v>
      </c>
      <c r="I316" s="5" t="n">
        <v>10</v>
      </c>
      <c r="J316">
        <f>H316*I316</f>
        <v/>
      </c>
      <c r="K316" t="n">
        <v>7.5</v>
      </c>
      <c r="L316" t="n">
        <v>112.5</v>
      </c>
    </row>
    <row r="317">
      <c r="A317" t="inlineStr">
        <is>
          <t>2026-06</t>
        </is>
      </c>
      <c r="B317" t="inlineStr">
        <is>
          <t>2026-06-11</t>
        </is>
      </c>
      <c r="C317" t="inlineStr">
        <is>
          <t>CC-CC001-0201</t>
        </is>
      </c>
      <c r="D317" t="inlineStr">
        <is>
          <t>PJ</t>
        </is>
      </c>
      <c r="E317" t="inlineStr">
        <is>
          <t>Yow Seng Sdn Bhd</t>
        </is>
      </c>
      <c r="F317" t="inlineStr">
        <is>
          <t>Telur Omega</t>
        </is>
      </c>
      <c r="G317" t="inlineStr">
        <is>
          <t>10pcs Pack</t>
        </is>
      </c>
      <c r="H317" s="5" t="n">
        <v>30</v>
      </c>
      <c r="I317" s="5" t="n">
        <v>10</v>
      </c>
      <c r="J317">
        <f>H317*I317</f>
        <v/>
      </c>
      <c r="K317" t="n">
        <v>7.5</v>
      </c>
      <c r="L317" t="n">
        <v>225</v>
      </c>
    </row>
    <row r="318">
      <c r="A318" t="inlineStr">
        <is>
          <t>2026-06</t>
        </is>
      </c>
      <c r="B318" t="inlineStr">
        <is>
          <t>2026-06-11</t>
        </is>
      </c>
      <c r="C318" t="inlineStr">
        <is>
          <t>CC-CC002-0187</t>
        </is>
      </c>
      <c r="D318" t="inlineStr">
        <is>
          <t>SA</t>
        </is>
      </c>
      <c r="E318" t="inlineStr">
        <is>
          <t>Yow Seng Sdn Bhd</t>
        </is>
      </c>
      <c r="F318" t="inlineStr">
        <is>
          <t>Telur Omega</t>
        </is>
      </c>
      <c r="G318" t="inlineStr">
        <is>
          <t>10pcs Pack</t>
        </is>
      </c>
      <c r="H318" s="5" t="n">
        <v>15</v>
      </c>
      <c r="I318" s="5" t="n">
        <v>10</v>
      </c>
      <c r="J318">
        <f>H318*I318</f>
        <v/>
      </c>
      <c r="K318" t="n">
        <v>7.5</v>
      </c>
      <c r="L318" t="n">
        <v>112.5</v>
      </c>
    </row>
    <row r="319">
      <c r="A319" t="inlineStr">
        <is>
          <t>2026-06</t>
        </is>
      </c>
      <c r="B319" t="inlineStr">
        <is>
          <t>2026-06-11</t>
        </is>
      </c>
      <c r="C319" t="inlineStr">
        <is>
          <t>CC-CC003-0133</t>
        </is>
      </c>
      <c r="D319" t="inlineStr">
        <is>
          <t>TAM</t>
        </is>
      </c>
      <c r="E319" t="inlineStr">
        <is>
          <t>Yow Seng Sdn Bhd</t>
        </is>
      </c>
      <c r="F319" t="inlineStr">
        <is>
          <t>Telur Omega</t>
        </is>
      </c>
      <c r="G319" t="inlineStr">
        <is>
          <t>10pcs Pack</t>
        </is>
      </c>
      <c r="H319" s="5" t="n">
        <v>15</v>
      </c>
      <c r="I319" s="5" t="n">
        <v>10</v>
      </c>
      <c r="J319">
        <f>H319*I319</f>
        <v/>
      </c>
      <c r="K319" t="n">
        <v>7.5</v>
      </c>
      <c r="L319" t="n">
        <v>112.5</v>
      </c>
    </row>
    <row r="320">
      <c r="A320" t="inlineStr">
        <is>
          <t>2026-06</t>
        </is>
      </c>
      <c r="B320" t="inlineStr">
        <is>
          <t>2026-06-11</t>
        </is>
      </c>
      <c r="C320" t="inlineStr">
        <is>
          <t>PC-CC002-0104</t>
        </is>
      </c>
      <c r="D320" t="inlineStr">
        <is>
          <t>SA</t>
        </is>
      </c>
      <c r="E320" t="inlineStr">
        <is>
          <t>Ad-hoc Purchase</t>
        </is>
      </c>
      <c r="F320" t="inlineStr">
        <is>
          <t>Telur Omega</t>
        </is>
      </c>
      <c r="G320" t="inlineStr">
        <is>
          <t>10pcs Pack</t>
        </is>
      </c>
      <c r="H320" s="5" t="n">
        <v>4</v>
      </c>
      <c r="I320" s="5" t="n">
        <v>10</v>
      </c>
      <c r="J320">
        <f>H320*I320</f>
        <v/>
      </c>
      <c r="K320" t="n">
        <v>6.35</v>
      </c>
      <c r="L320" t="n">
        <v>25.4</v>
      </c>
    </row>
    <row r="321">
      <c r="A321" t="inlineStr">
        <is>
          <t>2026-06</t>
        </is>
      </c>
      <c r="B321" t="inlineStr">
        <is>
          <t>2026-06-11</t>
        </is>
      </c>
      <c r="C321" t="inlineStr">
        <is>
          <t>PC-CC001-0213</t>
        </is>
      </c>
      <c r="D321" t="inlineStr">
        <is>
          <t>PJ</t>
        </is>
      </c>
      <c r="E321" t="inlineStr">
        <is>
          <t>Ad-hoc Purchase</t>
        </is>
      </c>
      <c r="F321" t="inlineStr">
        <is>
          <t>Telur Omega</t>
        </is>
      </c>
      <c r="G321" t="inlineStr">
        <is>
          <t>10pcs Pack</t>
        </is>
      </c>
      <c r="H321" s="5" t="n">
        <v>3</v>
      </c>
      <c r="I321" s="5" t="n">
        <v>10</v>
      </c>
      <c r="J321">
        <f>H321*I321</f>
        <v/>
      </c>
      <c r="K321" t="n">
        <v>6.9</v>
      </c>
      <c r="L321" t="n">
        <v>20.7</v>
      </c>
    </row>
    <row r="322">
      <c r="A322" t="inlineStr">
        <is>
          <t>2026-06</t>
        </is>
      </c>
      <c r="B322" t="inlineStr">
        <is>
          <t>2026-06-11</t>
        </is>
      </c>
      <c r="C322" t="inlineStr">
        <is>
          <t>PC-CC002-0106</t>
        </is>
      </c>
      <c r="D322" t="inlineStr">
        <is>
          <t>SA</t>
        </is>
      </c>
      <c r="E322" t="inlineStr">
        <is>
          <t>Ad-hoc Purchase</t>
        </is>
      </c>
      <c r="F322" t="inlineStr">
        <is>
          <t>Telur Omega</t>
        </is>
      </c>
      <c r="G322" t="inlineStr">
        <is>
          <t>10pcs Pack</t>
        </is>
      </c>
      <c r="H322" s="5" t="n">
        <v>3</v>
      </c>
      <c r="I322" s="5" t="n">
        <v>10</v>
      </c>
      <c r="J322">
        <f>H322*I322</f>
        <v/>
      </c>
      <c r="K322" t="n">
        <v>4.3</v>
      </c>
      <c r="L322" t="n">
        <v>12.9</v>
      </c>
    </row>
    <row r="323">
      <c r="A323" t="inlineStr">
        <is>
          <t>2026-06</t>
        </is>
      </c>
      <c r="B323" t="inlineStr">
        <is>
          <t>2026-06-16</t>
        </is>
      </c>
      <c r="C323" t="inlineStr">
        <is>
          <t>CC-CC001-0209</t>
        </is>
      </c>
      <c r="D323" t="inlineStr">
        <is>
          <t>PJ</t>
        </is>
      </c>
      <c r="E323" t="inlineStr">
        <is>
          <t>Yow Seng Sdn Bhd</t>
        </is>
      </c>
      <c r="F323" t="inlineStr">
        <is>
          <t>Telur Omega</t>
        </is>
      </c>
      <c r="G323" t="inlineStr">
        <is>
          <t>10pcs Pack</t>
        </is>
      </c>
      <c r="H323" s="5" t="n">
        <v>15</v>
      </c>
      <c r="I323" s="5" t="n">
        <v>10</v>
      </c>
      <c r="J323">
        <f>H323*I323</f>
        <v/>
      </c>
      <c r="K323" t="n">
        <v>7.5</v>
      </c>
      <c r="L323" t="n">
        <v>112.5</v>
      </c>
    </row>
    <row r="324">
      <c r="A324" t="inlineStr">
        <is>
          <t>2026-06</t>
        </is>
      </c>
      <c r="B324" t="inlineStr">
        <is>
          <t>2026-06-21</t>
        </is>
      </c>
      <c r="C324" t="inlineStr">
        <is>
          <t>CC-CC002-0217</t>
        </is>
      </c>
      <c r="D324" t="inlineStr">
        <is>
          <t>SA</t>
        </is>
      </c>
      <c r="E324" t="inlineStr">
        <is>
          <t>Yow Seng Sdn Bhd</t>
        </is>
      </c>
      <c r="F324" t="inlineStr">
        <is>
          <t>Telur Omega</t>
        </is>
      </c>
      <c r="G324" t="inlineStr">
        <is>
          <t>10pcs Pack</t>
        </is>
      </c>
      <c r="H324" s="5" t="n">
        <v>30</v>
      </c>
      <c r="I324" s="5" t="n">
        <v>10</v>
      </c>
      <c r="J324">
        <f>H324*I324</f>
        <v/>
      </c>
      <c r="K324" t="n">
        <v>7.5</v>
      </c>
      <c r="L324" t="n">
        <v>225</v>
      </c>
    </row>
    <row r="325">
      <c r="A325" t="inlineStr">
        <is>
          <t>2026-06</t>
        </is>
      </c>
      <c r="B325" t="inlineStr">
        <is>
          <t>2026-06-21</t>
        </is>
      </c>
      <c r="C325" t="inlineStr">
        <is>
          <t>CC-CC003-0148</t>
        </is>
      </c>
      <c r="D325" t="inlineStr">
        <is>
          <t>TAM</t>
        </is>
      </c>
      <c r="E325" t="inlineStr">
        <is>
          <t>Yow Seng Sdn Bhd</t>
        </is>
      </c>
      <c r="F325" t="inlineStr">
        <is>
          <t>Telur Omega</t>
        </is>
      </c>
      <c r="G325" t="inlineStr">
        <is>
          <t>10pcs Pack</t>
        </is>
      </c>
      <c r="H325" s="5" t="n">
        <v>30</v>
      </c>
      <c r="I325" s="5" t="n">
        <v>10</v>
      </c>
      <c r="J325">
        <f>H325*I325</f>
        <v/>
      </c>
      <c r="K325" t="n">
        <v>7</v>
      </c>
      <c r="L325" t="n">
        <v>210</v>
      </c>
    </row>
    <row r="326">
      <c r="A326" t="inlineStr">
        <is>
          <t>2026-06</t>
        </is>
      </c>
      <c r="B326" t="inlineStr">
        <is>
          <t>2026-06-21</t>
        </is>
      </c>
      <c r="C326" t="inlineStr">
        <is>
          <t>CC-CC001-0228</t>
        </is>
      </c>
      <c r="D326" t="inlineStr">
        <is>
          <t>PJ</t>
        </is>
      </c>
      <c r="E326" t="inlineStr">
        <is>
          <t>Yow Seng Sdn Bhd</t>
        </is>
      </c>
      <c r="F326" t="inlineStr">
        <is>
          <t>Telur Omega</t>
        </is>
      </c>
      <c r="G326" t="inlineStr">
        <is>
          <t>10pcs Pack</t>
        </is>
      </c>
      <c r="H326" s="5" t="n">
        <v>30</v>
      </c>
      <c r="I326" s="5" t="n">
        <v>10</v>
      </c>
      <c r="J326">
        <f>H326*I326</f>
        <v/>
      </c>
      <c r="K326" t="n">
        <v>7</v>
      </c>
      <c r="L326" t="n">
        <v>210</v>
      </c>
    </row>
    <row r="327">
      <c r="A327" t="inlineStr">
        <is>
          <t>2026-06</t>
        </is>
      </c>
      <c r="B327" t="inlineStr">
        <is>
          <t>2026-06-21</t>
        </is>
      </c>
      <c r="C327" t="inlineStr">
        <is>
          <t>PC-CC001-0232</t>
        </is>
      </c>
      <c r="D327" t="inlineStr">
        <is>
          <t>PJ</t>
        </is>
      </c>
      <c r="E327" t="inlineStr">
        <is>
          <t>Ad-hoc Purchase</t>
        </is>
      </c>
      <c r="F327" t="inlineStr">
        <is>
          <t>Telur Omega</t>
        </is>
      </c>
      <c r="G327" t="inlineStr">
        <is>
          <t>10pcs Pack</t>
        </is>
      </c>
      <c r="H327" s="5" t="n">
        <v>5</v>
      </c>
      <c r="I327" s="5" t="n">
        <v>10</v>
      </c>
      <c r="J327">
        <f>H327*I327</f>
        <v/>
      </c>
      <c r="K327" t="n">
        <v>8.460000000000001</v>
      </c>
      <c r="L327" t="n">
        <v>42.3</v>
      </c>
    </row>
    <row r="328">
      <c r="A328" t="inlineStr">
        <is>
          <t>2026-06</t>
        </is>
      </c>
      <c r="B328" t="inlineStr">
        <is>
          <t>2026-06-21</t>
        </is>
      </c>
      <c r="C328" t="inlineStr">
        <is>
          <t>PC-CC001-0235</t>
        </is>
      </c>
      <c r="D328" t="inlineStr">
        <is>
          <t>PJ</t>
        </is>
      </c>
      <c r="E328" t="inlineStr">
        <is>
          <t>Ad-hoc Purchase</t>
        </is>
      </c>
      <c r="F328" t="inlineStr">
        <is>
          <t>Telur Omega</t>
        </is>
      </c>
      <c r="G328" t="inlineStr">
        <is>
          <t>10pcs Pack</t>
        </is>
      </c>
      <c r="H328" s="5" t="n">
        <v>2</v>
      </c>
      <c r="I328" s="5" t="n">
        <v>10</v>
      </c>
      <c r="J328">
        <f>H328*I328</f>
        <v/>
      </c>
      <c r="K328" t="n">
        <v>9.15</v>
      </c>
      <c r="L328" t="n">
        <v>18.3</v>
      </c>
    </row>
    <row r="329">
      <c r="A329" t="inlineStr">
        <is>
          <t>2026-06</t>
        </is>
      </c>
      <c r="B329" t="inlineStr">
        <is>
          <t>2026-06-24</t>
        </is>
      </c>
      <c r="C329" t="inlineStr">
        <is>
          <t>CC-CC001-0235</t>
        </is>
      </c>
      <c r="D329" t="inlineStr">
        <is>
          <t>PJ</t>
        </is>
      </c>
      <c r="E329" t="inlineStr">
        <is>
          <t>Yow Seng Sdn Bhd</t>
        </is>
      </c>
      <c r="F329" t="inlineStr">
        <is>
          <t>Telur Omega</t>
        </is>
      </c>
      <c r="G329" t="inlineStr">
        <is>
          <t>10pcs Pack</t>
        </is>
      </c>
      <c r="H329" s="5" t="n">
        <v>30</v>
      </c>
      <c r="I329" s="5" t="n">
        <v>10</v>
      </c>
      <c r="J329">
        <f>H329*I329</f>
        <v/>
      </c>
      <c r="K329" t="n">
        <v>9.77</v>
      </c>
      <c r="L329" t="n">
        <v>293</v>
      </c>
    </row>
    <row r="330">
      <c r="A330" t="inlineStr">
        <is>
          <t>2026-06</t>
        </is>
      </c>
      <c r="B330" t="inlineStr">
        <is>
          <t>2026-06-24</t>
        </is>
      </c>
      <c r="C330" t="inlineStr">
        <is>
          <t>CC-CC002-0225</t>
        </is>
      </c>
      <c r="D330" t="inlineStr">
        <is>
          <t>SA</t>
        </is>
      </c>
      <c r="E330" t="inlineStr">
        <is>
          <t>Yow Seng Sdn Bhd</t>
        </is>
      </c>
      <c r="F330" t="inlineStr">
        <is>
          <t>Telur Omega</t>
        </is>
      </c>
      <c r="G330" t="inlineStr">
        <is>
          <t>10pcs Pack</t>
        </is>
      </c>
      <c r="H330" s="5" t="n">
        <v>15</v>
      </c>
      <c r="I330" s="5" t="n">
        <v>10</v>
      </c>
      <c r="J330">
        <f>H330*I330</f>
        <v/>
      </c>
      <c r="K330" t="n">
        <v>7.5</v>
      </c>
      <c r="L330" t="n">
        <v>112.5</v>
      </c>
    </row>
    <row r="331">
      <c r="A331" t="inlineStr">
        <is>
          <t>2026-06</t>
        </is>
      </c>
      <c r="B331" t="inlineStr">
        <is>
          <t>2026-06-24</t>
        </is>
      </c>
      <c r="C331" t="inlineStr">
        <is>
          <t>CC-CC003-0154</t>
        </is>
      </c>
      <c r="D331" t="inlineStr">
        <is>
          <t>TAM</t>
        </is>
      </c>
      <c r="E331" t="inlineStr">
        <is>
          <t>Yow Seng Sdn Bhd</t>
        </is>
      </c>
      <c r="F331" t="inlineStr">
        <is>
          <t>Telur Omega</t>
        </is>
      </c>
      <c r="G331" t="inlineStr">
        <is>
          <t>10pcs Pack</t>
        </is>
      </c>
      <c r="H331" s="5" t="n">
        <v>15</v>
      </c>
      <c r="I331" s="5" t="n">
        <v>10</v>
      </c>
      <c r="J331">
        <f>H331*I331</f>
        <v/>
      </c>
      <c r="K331" t="n">
        <v>7.5</v>
      </c>
      <c r="L331" t="n">
        <v>112.5</v>
      </c>
    </row>
    <row r="332">
      <c r="A332" t="inlineStr">
        <is>
          <t>2026-06</t>
        </is>
      </c>
      <c r="B332" t="inlineStr">
        <is>
          <t>2026-06-28</t>
        </is>
      </c>
      <c r="C332" t="inlineStr">
        <is>
          <t>PC-CC001-0280</t>
        </is>
      </c>
      <c r="D332" t="inlineStr">
        <is>
          <t>PJ</t>
        </is>
      </c>
      <c r="E332" t="inlineStr">
        <is>
          <t>Ad-hoc Purchase</t>
        </is>
      </c>
      <c r="F332" t="inlineStr">
        <is>
          <t>Telur Omega</t>
        </is>
      </c>
      <c r="G332" t="inlineStr">
        <is>
          <t>10pcs Pack</t>
        </is>
      </c>
      <c r="H332" s="5" t="n">
        <v>6</v>
      </c>
      <c r="I332" s="5" t="n">
        <v>10</v>
      </c>
      <c r="J332">
        <f>H332*I332</f>
        <v/>
      </c>
      <c r="K332" t="n">
        <v>12</v>
      </c>
      <c r="L332" t="n">
        <v>72</v>
      </c>
    </row>
    <row r="333">
      <c r="A333" t="inlineStr">
        <is>
          <t>2026-06</t>
        </is>
      </c>
      <c r="B333" t="inlineStr">
        <is>
          <t>2026-06-30</t>
        </is>
      </c>
      <c r="C333" t="inlineStr">
        <is>
          <t>CC-CC001-0249</t>
        </is>
      </c>
      <c r="D333" t="inlineStr">
        <is>
          <t>PJ</t>
        </is>
      </c>
      <c r="E333" t="inlineStr">
        <is>
          <t>Yow Seng Sdn Bhd</t>
        </is>
      </c>
      <c r="F333" t="inlineStr">
        <is>
          <t>Telur Omega</t>
        </is>
      </c>
      <c r="G333" t="inlineStr">
        <is>
          <t>10pcs Pack</t>
        </is>
      </c>
      <c r="H333" s="5" t="n">
        <v>15</v>
      </c>
      <c r="I333" s="5" t="n">
        <v>10</v>
      </c>
      <c r="J333">
        <f>H333*I333</f>
        <v/>
      </c>
      <c r="K333" t="n">
        <v>7.5</v>
      </c>
      <c r="L333" t="n">
        <v>112.5</v>
      </c>
    </row>
    <row r="334">
      <c r="A334" t="inlineStr">
        <is>
          <t>2026-07</t>
        </is>
      </c>
      <c r="B334" t="inlineStr">
        <is>
          <t>2026-07-02</t>
        </is>
      </c>
      <c r="C334" t="inlineStr">
        <is>
          <t>CC-CC001-0258</t>
        </is>
      </c>
      <c r="D334" t="inlineStr">
        <is>
          <t>PJ</t>
        </is>
      </c>
      <c r="E334" t="inlineStr">
        <is>
          <t>Yow Seng Sdn Bhd</t>
        </is>
      </c>
      <c r="F334" t="inlineStr">
        <is>
          <t>Telur Omega</t>
        </is>
      </c>
      <c r="G334" t="inlineStr">
        <is>
          <t>10pcs Pack</t>
        </is>
      </c>
      <c r="H334" s="5" t="n">
        <v>30</v>
      </c>
      <c r="I334" s="5" t="n">
        <v>10</v>
      </c>
      <c r="J334">
        <f>H334*I334</f>
        <v/>
      </c>
      <c r="K334" t="n">
        <v>7</v>
      </c>
      <c r="L334" t="n">
        <v>210</v>
      </c>
    </row>
    <row r="335">
      <c r="A335" t="inlineStr">
        <is>
          <t>2026-07</t>
        </is>
      </c>
      <c r="B335" t="inlineStr">
        <is>
          <t>2026-07-02</t>
        </is>
      </c>
      <c r="C335" t="inlineStr">
        <is>
          <t>CC-CC001-0259</t>
        </is>
      </c>
      <c r="D335" t="inlineStr">
        <is>
          <t>PJ</t>
        </is>
      </c>
      <c r="E335" t="inlineStr">
        <is>
          <t>Yow Seng Sdn Bhd</t>
        </is>
      </c>
      <c r="F335" t="inlineStr">
        <is>
          <t>Telur Omega</t>
        </is>
      </c>
      <c r="G335" t="inlineStr">
        <is>
          <t>10pcs Pack</t>
        </is>
      </c>
      <c r="H335" s="5" t="n">
        <v>30</v>
      </c>
      <c r="I335" s="5" t="n">
        <v>10</v>
      </c>
      <c r="J335">
        <f>H335*I335</f>
        <v/>
      </c>
      <c r="K335" t="n">
        <v>7.5</v>
      </c>
      <c r="L335" t="n">
        <v>225</v>
      </c>
    </row>
    <row r="336">
      <c r="A336" t="inlineStr">
        <is>
          <t>2026-07</t>
        </is>
      </c>
      <c r="B336" t="inlineStr">
        <is>
          <t>2026-07-02</t>
        </is>
      </c>
      <c r="C336" t="inlineStr">
        <is>
          <t>CC-CC002-0247</t>
        </is>
      </c>
      <c r="D336" t="inlineStr">
        <is>
          <t>SA</t>
        </is>
      </c>
      <c r="E336" t="inlineStr">
        <is>
          <t>Yow Seng Sdn Bhd</t>
        </is>
      </c>
      <c r="F336" t="inlineStr">
        <is>
          <t>Telur Omega</t>
        </is>
      </c>
      <c r="G336" t="inlineStr">
        <is>
          <t>10pcs Pack</t>
        </is>
      </c>
      <c r="H336" s="5" t="n">
        <v>15</v>
      </c>
      <c r="I336" s="5" t="n">
        <v>10</v>
      </c>
      <c r="J336">
        <f>H336*I336</f>
        <v/>
      </c>
      <c r="K336" t="n">
        <v>7.5</v>
      </c>
      <c r="L336" t="n">
        <v>112.5</v>
      </c>
    </row>
    <row r="337">
      <c r="A337" t="inlineStr">
        <is>
          <t>2026-07</t>
        </is>
      </c>
      <c r="B337" t="inlineStr">
        <is>
          <t>2026-07-02</t>
        </is>
      </c>
      <c r="C337" t="inlineStr">
        <is>
          <t>CC-CC003-0172</t>
        </is>
      </c>
      <c r="D337" t="inlineStr">
        <is>
          <t>TAM</t>
        </is>
      </c>
      <c r="E337" t="inlineStr">
        <is>
          <t>Yow Seng Sdn Bhd</t>
        </is>
      </c>
      <c r="F337" t="inlineStr">
        <is>
          <t>Telur Omega</t>
        </is>
      </c>
      <c r="G337" t="inlineStr">
        <is>
          <t>10pcs Pack</t>
        </is>
      </c>
      <c r="H337" s="5" t="n">
        <v>15</v>
      </c>
      <c r="I337" s="5" t="n">
        <v>10</v>
      </c>
      <c r="J337">
        <f>H337*I337</f>
        <v/>
      </c>
      <c r="K337" t="n">
        <v>7.5</v>
      </c>
      <c r="L337" t="n">
        <v>112.5</v>
      </c>
    </row>
    <row r="338">
      <c r="A338" t="inlineStr">
        <is>
          <t>2026-07</t>
        </is>
      </c>
      <c r="B338" t="inlineStr">
        <is>
          <t>2026-07-07</t>
        </is>
      </c>
      <c r="C338" t="inlineStr">
        <is>
          <t>CC-CC001-0274</t>
        </is>
      </c>
      <c r="D338" t="inlineStr">
        <is>
          <t>PJ</t>
        </is>
      </c>
      <c r="E338" t="inlineStr">
        <is>
          <t>Yow Seng Sdn Bhd</t>
        </is>
      </c>
      <c r="F338" t="inlineStr">
        <is>
          <t>Telur Omega</t>
        </is>
      </c>
      <c r="G338" t="inlineStr">
        <is>
          <t>10pcs Pack</t>
        </is>
      </c>
      <c r="H338" s="5" t="n">
        <v>150</v>
      </c>
      <c r="I338" s="5" t="n">
        <v>10</v>
      </c>
      <c r="J338">
        <f>H338*I338</f>
        <v/>
      </c>
      <c r="K338" t="n">
        <v>7.5</v>
      </c>
      <c r="L338" t="n">
        <v>1125</v>
      </c>
    </row>
    <row r="339">
      <c r="A339" t="inlineStr">
        <is>
          <t>2026-07</t>
        </is>
      </c>
      <c r="B339" t="inlineStr">
        <is>
          <t>2026-07-09</t>
        </is>
      </c>
      <c r="C339" t="inlineStr">
        <is>
          <t>CC-CC001-0279</t>
        </is>
      </c>
      <c r="D339" t="inlineStr">
        <is>
          <t>PJ</t>
        </is>
      </c>
      <c r="E339" t="inlineStr">
        <is>
          <t>Yow Seng Sdn Bhd</t>
        </is>
      </c>
      <c r="F339" t="inlineStr">
        <is>
          <t>Telur Omega</t>
        </is>
      </c>
      <c r="G339" t="inlineStr">
        <is>
          <t>10pcs Pack</t>
        </is>
      </c>
      <c r="H339" s="5" t="n">
        <v>30</v>
      </c>
      <c r="I339" s="5" t="n">
        <v>10</v>
      </c>
      <c r="J339">
        <f>H339*I339</f>
        <v/>
      </c>
      <c r="K339" t="n">
        <v>7.5</v>
      </c>
      <c r="L339" t="n">
        <v>225</v>
      </c>
    </row>
    <row r="340">
      <c r="A340" t="inlineStr">
        <is>
          <t>2026-07</t>
        </is>
      </c>
      <c r="B340" t="inlineStr">
        <is>
          <t>2026-07-09</t>
        </is>
      </c>
      <c r="C340" t="inlineStr">
        <is>
          <t>CC-CC002-0265</t>
        </is>
      </c>
      <c r="D340" t="inlineStr">
        <is>
          <t>SA</t>
        </is>
      </c>
      <c r="E340" t="inlineStr">
        <is>
          <t>Yow Seng Sdn Bhd</t>
        </is>
      </c>
      <c r="F340" t="inlineStr">
        <is>
          <t>Telur Omega</t>
        </is>
      </c>
      <c r="G340" t="inlineStr">
        <is>
          <t>10pcs Pack</t>
        </is>
      </c>
      <c r="H340" s="5" t="n">
        <v>15</v>
      </c>
      <c r="I340" s="5" t="n">
        <v>10</v>
      </c>
      <c r="J340">
        <f>H340*I340</f>
        <v/>
      </c>
      <c r="K340" t="n">
        <v>7.5</v>
      </c>
      <c r="L340" t="n">
        <v>112.5</v>
      </c>
    </row>
    <row r="341">
      <c r="A341" t="inlineStr">
        <is>
          <t>2026-07</t>
        </is>
      </c>
      <c r="B341" t="inlineStr">
        <is>
          <t>2026-07-09</t>
        </is>
      </c>
      <c r="C341" t="inlineStr">
        <is>
          <t>CC-CC003-0183</t>
        </is>
      </c>
      <c r="D341" t="inlineStr">
        <is>
          <t>TAM</t>
        </is>
      </c>
      <c r="E341" t="inlineStr">
        <is>
          <t>Yow Seng Sdn Bhd</t>
        </is>
      </c>
      <c r="F341" t="inlineStr">
        <is>
          <t>Telur Omega</t>
        </is>
      </c>
      <c r="G341" t="inlineStr">
        <is>
          <t>10pcs Pack</t>
        </is>
      </c>
      <c r="H341" s="5" t="n">
        <v>15</v>
      </c>
      <c r="I341" s="5" t="n">
        <v>10</v>
      </c>
      <c r="J341">
        <f>H341*I341</f>
        <v/>
      </c>
      <c r="K341" t="n">
        <v>7.5</v>
      </c>
      <c r="L341" t="n">
        <v>112.5</v>
      </c>
    </row>
    <row r="342">
      <c r="A342" t="inlineStr">
        <is>
          <t>2026-07</t>
        </is>
      </c>
      <c r="B342" t="inlineStr">
        <is>
          <t>2026-07-12</t>
        </is>
      </c>
      <c r="C342" t="inlineStr">
        <is>
          <t>PC-CC002-0170</t>
        </is>
      </c>
      <c r="D342" t="inlineStr">
        <is>
          <t>SA</t>
        </is>
      </c>
      <c r="E342" t="inlineStr">
        <is>
          <t>Ad-hoc Purchase</t>
        </is>
      </c>
      <c r="F342" t="inlineStr">
        <is>
          <t>Telur Omega</t>
        </is>
      </c>
      <c r="G342" t="inlineStr">
        <is>
          <t>10pcs Pack</t>
        </is>
      </c>
      <c r="H342" s="5" t="n">
        <v>3</v>
      </c>
      <c r="I342" s="5" t="n">
        <v>10</v>
      </c>
      <c r="J342">
        <f>H342*I342</f>
        <v/>
      </c>
      <c r="K342" t="n">
        <v>25.9</v>
      </c>
      <c r="L342" t="n">
        <v>77.7</v>
      </c>
    </row>
    <row r="343">
      <c r="A343" t="inlineStr">
        <is>
          <t>2026-07</t>
        </is>
      </c>
      <c r="B343" t="inlineStr">
        <is>
          <t>2026-07-15</t>
        </is>
      </c>
      <c r="C343" t="inlineStr">
        <is>
          <t>CC-CC002-0274</t>
        </is>
      </c>
      <c r="D343" t="inlineStr">
        <is>
          <t>SA</t>
        </is>
      </c>
      <c r="E343" t="inlineStr">
        <is>
          <t>Yow Seng Sdn Bhd</t>
        </is>
      </c>
      <c r="F343" t="inlineStr">
        <is>
          <t>Telur Omega</t>
        </is>
      </c>
      <c r="G343" t="inlineStr">
        <is>
          <t>10pcs Pack</t>
        </is>
      </c>
      <c r="H343" s="5" t="n">
        <v>15</v>
      </c>
      <c r="I343" s="5" t="n">
        <v>10</v>
      </c>
      <c r="J343">
        <f>H343*I343</f>
        <v/>
      </c>
      <c r="K343" t="n">
        <v>7.5</v>
      </c>
      <c r="L343" t="n">
        <v>112.5</v>
      </c>
    </row>
    <row r="344">
      <c r="A344" t="inlineStr">
        <is>
          <t>2026-07</t>
        </is>
      </c>
      <c r="B344" t="inlineStr">
        <is>
          <t>2026-07-15</t>
        </is>
      </c>
      <c r="C344" t="inlineStr">
        <is>
          <t>CC-CC001-0293</t>
        </is>
      </c>
      <c r="D344" t="inlineStr">
        <is>
          <t>PJ</t>
        </is>
      </c>
      <c r="E344" t="inlineStr">
        <is>
          <t>Yow Seng Sdn Bhd</t>
        </is>
      </c>
      <c r="F344" t="inlineStr">
        <is>
          <t>Telur Omega</t>
        </is>
      </c>
      <c r="G344" t="inlineStr">
        <is>
          <t>10pcs Pack</t>
        </is>
      </c>
      <c r="H344" s="5" t="n">
        <v>30</v>
      </c>
      <c r="I344" s="5" t="n">
        <v>10</v>
      </c>
      <c r="J344">
        <f>H344*I344</f>
        <v/>
      </c>
      <c r="K344" t="n">
        <v>7.5</v>
      </c>
      <c r="L344" t="n">
        <v>225</v>
      </c>
    </row>
    <row r="345">
      <c r="A345" t="inlineStr">
        <is>
          <t>2026-07</t>
        </is>
      </c>
      <c r="B345" t="inlineStr">
        <is>
          <t>2026-07-15</t>
        </is>
      </c>
      <c r="C345" t="inlineStr">
        <is>
          <t>CC-CC003-0192</t>
        </is>
      </c>
      <c r="D345" t="inlineStr">
        <is>
          <t>TAM</t>
        </is>
      </c>
      <c r="E345" t="inlineStr">
        <is>
          <t>Yow Seng Sdn Bhd</t>
        </is>
      </c>
      <c r="F345" t="inlineStr">
        <is>
          <t>Telur Omega</t>
        </is>
      </c>
      <c r="G345" t="inlineStr">
        <is>
          <t>10pcs Pack</t>
        </is>
      </c>
      <c r="H345" s="5" t="n">
        <v>15</v>
      </c>
      <c r="I345" s="5" t="n">
        <v>10</v>
      </c>
      <c r="J345">
        <f>H345*I345</f>
        <v/>
      </c>
      <c r="K345" t="n">
        <v>7.5</v>
      </c>
      <c r="L345" t="n">
        <v>112.5</v>
      </c>
    </row>
    <row r="346">
      <c r="A346" t="inlineStr">
        <is>
          <t>2026-07</t>
        </is>
      </c>
      <c r="B346" t="inlineStr">
        <is>
          <t>2026-07-16</t>
        </is>
      </c>
      <c r="C346" t="inlineStr">
        <is>
          <t>CC-CC002-0289</t>
        </is>
      </c>
      <c r="D346" t="inlineStr">
        <is>
          <t>SA</t>
        </is>
      </c>
      <c r="E346" t="inlineStr">
        <is>
          <t>Yow Seng Sdn Bhd</t>
        </is>
      </c>
      <c r="F346" t="inlineStr">
        <is>
          <t>Telur Omega</t>
        </is>
      </c>
      <c r="G346" t="inlineStr">
        <is>
          <t>10pcs Pack</t>
        </is>
      </c>
      <c r="H346" s="5" t="n">
        <v>15</v>
      </c>
      <c r="I346" s="5" t="n">
        <v>10</v>
      </c>
      <c r="J346">
        <f>H346*I346</f>
        <v/>
      </c>
      <c r="K346" t="n">
        <v>7.5</v>
      </c>
      <c r="L346" t="n">
        <v>112.5</v>
      </c>
    </row>
    <row r="347">
      <c r="A347" t="inlineStr">
        <is>
          <t>2026-07</t>
        </is>
      </c>
      <c r="B347" t="inlineStr">
        <is>
          <t>2026-07-16</t>
        </is>
      </c>
      <c r="C347" t="inlineStr">
        <is>
          <t>CC-CC001-0299</t>
        </is>
      </c>
      <c r="D347" t="inlineStr">
        <is>
          <t>PJ</t>
        </is>
      </c>
      <c r="E347" t="inlineStr">
        <is>
          <t>Yow Seng Sdn Bhd</t>
        </is>
      </c>
      <c r="F347" t="inlineStr">
        <is>
          <t>Telur Omega</t>
        </is>
      </c>
      <c r="G347" t="inlineStr">
        <is>
          <t>10pcs Pack</t>
        </is>
      </c>
      <c r="H347" s="5" t="n">
        <v>30</v>
      </c>
      <c r="I347" s="5" t="n">
        <v>10</v>
      </c>
      <c r="J347">
        <f>H347*I347</f>
        <v/>
      </c>
      <c r="K347" t="n">
        <v>7.5</v>
      </c>
      <c r="L347" t="n">
        <v>225</v>
      </c>
    </row>
    <row r="348">
      <c r="A348" t="inlineStr">
        <is>
          <t>2026-07</t>
        </is>
      </c>
      <c r="B348" t="inlineStr">
        <is>
          <t>2026-07-22</t>
        </is>
      </c>
      <c r="C348" t="inlineStr">
        <is>
          <t>CC-CC002-0301</t>
        </is>
      </c>
      <c r="D348" t="inlineStr">
        <is>
          <t>SA</t>
        </is>
      </c>
      <c r="E348" t="inlineStr">
        <is>
          <t>Yow Seng Sdn Bhd</t>
        </is>
      </c>
      <c r="F348" t="inlineStr">
        <is>
          <t>Telur Omega</t>
        </is>
      </c>
      <c r="G348" t="inlineStr">
        <is>
          <t>10pcs Pack</t>
        </is>
      </c>
      <c r="H348" s="5" t="n">
        <v>15</v>
      </c>
      <c r="I348" s="5" t="n">
        <v>10</v>
      </c>
      <c r="J348">
        <f>H348*I348</f>
        <v/>
      </c>
      <c r="K348" t="n">
        <v>7.5</v>
      </c>
      <c r="L348" t="n">
        <v>112.5</v>
      </c>
    </row>
    <row r="349">
      <c r="A349" t="inlineStr">
        <is>
          <t>2026-07</t>
        </is>
      </c>
      <c r="B349" t="inlineStr">
        <is>
          <t>2026-07-22</t>
        </is>
      </c>
      <c r="C349" t="inlineStr">
        <is>
          <t>CC-CC001-0315</t>
        </is>
      </c>
      <c r="D349" t="inlineStr">
        <is>
          <t>PJ</t>
        </is>
      </c>
      <c r="E349" t="inlineStr">
        <is>
          <t>Yow Seng Sdn Bhd</t>
        </is>
      </c>
      <c r="F349" t="inlineStr">
        <is>
          <t>Telur Omega</t>
        </is>
      </c>
      <c r="G349" t="inlineStr">
        <is>
          <t>10pcs Pack</t>
        </is>
      </c>
      <c r="H349" s="5" t="n">
        <v>30</v>
      </c>
      <c r="I349" s="5" t="n">
        <v>10</v>
      </c>
      <c r="J349">
        <f>H349*I349</f>
        <v/>
      </c>
      <c r="K349" t="n">
        <v>7.5</v>
      </c>
      <c r="L349" t="n">
        <v>225</v>
      </c>
    </row>
    <row r="350">
      <c r="A350" t="inlineStr">
        <is>
          <t>2026-07</t>
        </is>
      </c>
      <c r="B350" t="inlineStr">
        <is>
          <t>2026-07-22</t>
        </is>
      </c>
      <c r="C350" t="inlineStr">
        <is>
          <t>CC-CC003-0206</t>
        </is>
      </c>
      <c r="D350" t="inlineStr">
        <is>
          <t>TAM</t>
        </is>
      </c>
      <c r="E350" t="inlineStr">
        <is>
          <t>Yow Seng Sdn Bhd</t>
        </is>
      </c>
      <c r="F350" t="inlineStr">
        <is>
          <t>Telur Omega</t>
        </is>
      </c>
      <c r="G350" t="inlineStr">
        <is>
          <t>10pcs Pack</t>
        </is>
      </c>
      <c r="H350" s="5" t="n">
        <v>15</v>
      </c>
      <c r="I350" s="5" t="n">
        <v>10</v>
      </c>
      <c r="J350">
        <f>H350*I350</f>
        <v/>
      </c>
      <c r="K350" t="n">
        <v>7.5</v>
      </c>
      <c r="L350" t="n">
        <v>112.5</v>
      </c>
    </row>
    <row r="351">
      <c r="A351" t="inlineStr">
        <is>
          <t>2026-07</t>
        </is>
      </c>
      <c r="B351" t="inlineStr">
        <is>
          <t>2026-07-23</t>
        </is>
      </c>
      <c r="C351" t="inlineStr">
        <is>
          <t>PC-CC002-0180</t>
        </is>
      </c>
      <c r="D351" t="inlineStr">
        <is>
          <t>SA</t>
        </is>
      </c>
      <c r="E351" t="inlineStr">
        <is>
          <t>Ad-hoc Purchase</t>
        </is>
      </c>
      <c r="F351" t="inlineStr">
        <is>
          <t>Telur Omega</t>
        </is>
      </c>
      <c r="G351" t="inlineStr">
        <is>
          <t>10pcs Pack</t>
        </is>
      </c>
      <c r="H351" s="5" t="n">
        <v>2</v>
      </c>
      <c r="I351" s="5" t="n">
        <v>10</v>
      </c>
      <c r="J351">
        <f>H351*I351</f>
        <v/>
      </c>
      <c r="K351" t="n">
        <v>11.2</v>
      </c>
      <c r="L351" t="n">
        <v>22.4</v>
      </c>
    </row>
    <row r="352">
      <c r="A352" t="inlineStr">
        <is>
          <t>2026-07</t>
        </is>
      </c>
      <c r="B352" t="inlineStr">
        <is>
          <t>2026-07-23</t>
        </is>
      </c>
      <c r="C352" t="inlineStr">
        <is>
          <t>CC-CC002-0307</t>
        </is>
      </c>
      <c r="D352" t="inlineStr">
        <is>
          <t>SA</t>
        </is>
      </c>
      <c r="E352" t="inlineStr">
        <is>
          <t>Yow Seng Sdn Bhd</t>
        </is>
      </c>
      <c r="F352" t="inlineStr">
        <is>
          <t>Telur Omega</t>
        </is>
      </c>
      <c r="G352" t="inlineStr">
        <is>
          <t>10pcs Pack</t>
        </is>
      </c>
      <c r="H352" s="5" t="n">
        <v>15</v>
      </c>
      <c r="I352" s="5" t="n">
        <v>10</v>
      </c>
      <c r="J352">
        <f>H352*I352</f>
        <v/>
      </c>
      <c r="K352" t="n">
        <v>7.5</v>
      </c>
      <c r="L352" t="n">
        <v>112.5</v>
      </c>
    </row>
    <row r="353">
      <c r="A353" t="inlineStr">
        <is>
          <t>2026-07</t>
        </is>
      </c>
      <c r="B353" t="inlineStr">
        <is>
          <t>2026-07-23</t>
        </is>
      </c>
      <c r="C353" t="inlineStr">
        <is>
          <t>PC-CC001-0329</t>
        </is>
      </c>
      <c r="D353" t="inlineStr">
        <is>
          <t>PJ</t>
        </is>
      </c>
      <c r="E353" t="inlineStr">
        <is>
          <t>Yow Seng Sdn Bhd</t>
        </is>
      </c>
      <c r="F353" t="inlineStr">
        <is>
          <t>Telur Omega</t>
        </is>
      </c>
      <c r="G353" t="inlineStr">
        <is>
          <t>10pcs Pack</t>
        </is>
      </c>
      <c r="H353" s="5" t="n">
        <v>15</v>
      </c>
      <c r="I353" s="5" t="n">
        <v>10</v>
      </c>
      <c r="J353">
        <f>H353*I353</f>
        <v/>
      </c>
      <c r="K353" t="n">
        <v>7.5</v>
      </c>
      <c r="L353" t="n">
        <v>112.5</v>
      </c>
    </row>
    <row r="354">
      <c r="A354" t="inlineStr">
        <is>
          <t>2026-07</t>
        </is>
      </c>
      <c r="B354" t="inlineStr">
        <is>
          <t>2026-07-23</t>
        </is>
      </c>
      <c r="C354" t="inlineStr">
        <is>
          <t>PC-CC003-0176</t>
        </is>
      </c>
      <c r="D354" t="inlineStr">
        <is>
          <t>TAM</t>
        </is>
      </c>
      <c r="E354" t="inlineStr">
        <is>
          <t>Yow Seng Sdn Bhd</t>
        </is>
      </c>
      <c r="F354" t="inlineStr">
        <is>
          <t>Telur Omega</t>
        </is>
      </c>
      <c r="G354" t="inlineStr">
        <is>
          <t>10pcs Pack</t>
        </is>
      </c>
      <c r="H354" s="5" t="n">
        <v>15</v>
      </c>
      <c r="I354" s="5" t="n">
        <v>10</v>
      </c>
      <c r="J354">
        <f>H354*I354</f>
        <v/>
      </c>
      <c r="K354" t="n">
        <v>7.5</v>
      </c>
      <c r="L354" t="n">
        <v>112.5</v>
      </c>
    </row>
    <row r="355">
      <c r="A355" t="inlineStr">
        <is>
          <t>2026-07</t>
        </is>
      </c>
      <c r="B355" t="inlineStr">
        <is>
          <t>2026-07-23</t>
        </is>
      </c>
      <c r="C355" t="inlineStr">
        <is>
          <t>PC-CC001-0345</t>
        </is>
      </c>
      <c r="D355" t="inlineStr">
        <is>
          <t>PJ</t>
        </is>
      </c>
      <c r="E355" t="inlineStr">
        <is>
          <t>Ad-hoc Purchase</t>
        </is>
      </c>
      <c r="F355" t="inlineStr">
        <is>
          <t>Telur Omega</t>
        </is>
      </c>
      <c r="G355" t="inlineStr">
        <is>
          <t>10pcs Pack</t>
        </is>
      </c>
      <c r="H355" s="5" t="n">
        <v>3</v>
      </c>
      <c r="I355" s="5" t="n">
        <v>10</v>
      </c>
      <c r="J355">
        <f>H355*I355</f>
        <v/>
      </c>
      <c r="K355" t="n">
        <v>9.380000000000001</v>
      </c>
      <c r="L355" t="n">
        <v>28.15</v>
      </c>
    </row>
    <row r="356">
      <c r="A356" t="inlineStr">
        <is>
          <t>2026-07</t>
        </is>
      </c>
      <c r="B356" t="inlineStr">
        <is>
          <t>2026-07-23</t>
        </is>
      </c>
      <c r="C356" t="inlineStr">
        <is>
          <t>PC-CC001-0346</t>
        </is>
      </c>
      <c r="D356" t="inlineStr">
        <is>
          <t>PJ</t>
        </is>
      </c>
      <c r="E356" t="inlineStr">
        <is>
          <t>Ad-hoc Purchase</t>
        </is>
      </c>
      <c r="F356" t="inlineStr">
        <is>
          <t>Telur Omega</t>
        </is>
      </c>
      <c r="G356" t="inlineStr">
        <is>
          <t>10pcs Pack</t>
        </is>
      </c>
      <c r="H356" s="5" t="n">
        <v>3</v>
      </c>
      <c r="I356" s="5" t="n">
        <v>10</v>
      </c>
      <c r="J356">
        <f>H356*I356</f>
        <v/>
      </c>
      <c r="K356" t="n">
        <v>11.5</v>
      </c>
      <c r="L356" t="n">
        <v>34.5</v>
      </c>
    </row>
    <row r="357">
      <c r="A357" t="inlineStr">
        <is>
          <t>2026-07</t>
        </is>
      </c>
      <c r="B357" t="inlineStr">
        <is>
          <t>2026-07-26</t>
        </is>
      </c>
      <c r="C357" t="inlineStr">
        <is>
          <t>CC-CC001-0325</t>
        </is>
      </c>
      <c r="D357" t="inlineStr">
        <is>
          <t>PJ</t>
        </is>
      </c>
      <c r="E357" t="inlineStr">
        <is>
          <t>Yow Seng Sdn Bhd</t>
        </is>
      </c>
      <c r="F357" t="inlineStr">
        <is>
          <t>Telur Omega</t>
        </is>
      </c>
      <c r="G357" t="inlineStr">
        <is>
          <t>10pcs Pack</t>
        </is>
      </c>
      <c r="H357" s="5" t="n">
        <v>30</v>
      </c>
      <c r="I357" s="5" t="n">
        <v>10</v>
      </c>
      <c r="J357">
        <f>H357*I357</f>
        <v/>
      </c>
      <c r="K357" t="n">
        <v>7.5</v>
      </c>
      <c r="L357" t="n">
        <v>225</v>
      </c>
    </row>
    <row r="358">
      <c r="A358" t="inlineStr">
        <is>
          <t>2026-07</t>
        </is>
      </c>
      <c r="B358" t="inlineStr">
        <is>
          <t>2026-07-26</t>
        </is>
      </c>
      <c r="C358" t="inlineStr">
        <is>
          <t>CC-CC003-0212</t>
        </is>
      </c>
      <c r="D358" t="inlineStr">
        <is>
          <t>TAM</t>
        </is>
      </c>
      <c r="E358" t="inlineStr">
        <is>
          <t>Yow Seng Sdn Bhd</t>
        </is>
      </c>
      <c r="F358" t="inlineStr">
        <is>
          <t>Telur Omega</t>
        </is>
      </c>
      <c r="G358" t="inlineStr">
        <is>
          <t>10pcs Pack</t>
        </is>
      </c>
      <c r="H358" s="5" t="n">
        <v>15</v>
      </c>
      <c r="I358" s="5" t="n">
        <v>10</v>
      </c>
      <c r="J358">
        <f>H358*I358</f>
        <v/>
      </c>
      <c r="K358" t="n">
        <v>7.5</v>
      </c>
      <c r="L358" t="n">
        <v>112.5</v>
      </c>
    </row>
    <row r="359">
      <c r="A359" t="inlineStr">
        <is>
          <t>2026-04</t>
        </is>
      </c>
      <c r="B359" t="inlineStr">
        <is>
          <t>2026-04-18</t>
        </is>
      </c>
      <c r="C359" t="inlineStr">
        <is>
          <t>PC-CC002-0018</t>
        </is>
      </c>
      <c r="D359" t="inlineStr">
        <is>
          <t>SA</t>
        </is>
      </c>
      <c r="E359" t="inlineStr">
        <is>
          <t>Ad-hoc Purchase</t>
        </is>
      </c>
      <c r="F359" t="inlineStr">
        <is>
          <t>Udang</t>
        </is>
      </c>
      <c r="G359" t="inlineStr">
        <is>
          <t>Pack (1000g)</t>
        </is>
      </c>
      <c r="H359" s="5" t="n">
        <v>10</v>
      </c>
      <c r="I359" s="5" t="n">
        <v>1000</v>
      </c>
      <c r="J359">
        <f>H359*I359</f>
        <v/>
      </c>
      <c r="K359" t="n">
        <v>15.5</v>
      </c>
      <c r="L359" t="n">
        <v>155</v>
      </c>
    </row>
    <row r="360">
      <c r="A360" t="inlineStr">
        <is>
          <t>2026-04</t>
        </is>
      </c>
      <c r="B360" t="inlineStr">
        <is>
          <t>2026-04-18</t>
        </is>
      </c>
      <c r="C360" t="inlineStr">
        <is>
          <t>PC-CC001-0022</t>
        </is>
      </c>
      <c r="D360" t="inlineStr">
        <is>
          <t>PJ</t>
        </is>
      </c>
      <c r="E360" t="inlineStr">
        <is>
          <t>Ad-hoc Purchase</t>
        </is>
      </c>
      <c r="F360" t="inlineStr">
        <is>
          <t>Udang</t>
        </is>
      </c>
      <c r="G360" t="inlineStr">
        <is>
          <t>Pack (1000g)</t>
        </is>
      </c>
      <c r="H360" s="5" t="n">
        <v>10</v>
      </c>
      <c r="I360" s="5" t="n">
        <v>1000</v>
      </c>
      <c r="J360">
        <f>H360*I360</f>
        <v/>
      </c>
      <c r="K360" t="n">
        <v>15.5</v>
      </c>
      <c r="L360" t="n">
        <v>155</v>
      </c>
    </row>
    <row r="361">
      <c r="A361" t="inlineStr">
        <is>
          <t>2026-04</t>
        </is>
      </c>
      <c r="B361" t="inlineStr">
        <is>
          <t>2026-04-18</t>
        </is>
      </c>
      <c r="C361" t="inlineStr">
        <is>
          <t>PC-CC003-0008</t>
        </is>
      </c>
      <c r="D361" t="inlineStr">
        <is>
          <t>TAM</t>
        </is>
      </c>
      <c r="E361" t="inlineStr">
        <is>
          <t>Ad-hoc Purchase</t>
        </is>
      </c>
      <c r="F361" t="inlineStr">
        <is>
          <t>Udang</t>
        </is>
      </c>
      <c r="G361" t="inlineStr">
        <is>
          <t>Pack (1000g)</t>
        </is>
      </c>
      <c r="H361" s="5" t="n">
        <v>10</v>
      </c>
      <c r="I361" s="5" t="n">
        <v>1000</v>
      </c>
      <c r="J361">
        <f>H361*I361</f>
        <v/>
      </c>
      <c r="K361" t="n">
        <v>15.5</v>
      </c>
      <c r="L361" t="n">
        <v>155</v>
      </c>
    </row>
    <row r="362">
      <c r="A362" t="inlineStr">
        <is>
          <t>2026-04</t>
        </is>
      </c>
      <c r="B362" t="inlineStr">
        <is>
          <t>2026-04-22</t>
        </is>
      </c>
      <c r="C362" t="inlineStr">
        <is>
          <t>CC-CC001-0025</t>
        </is>
      </c>
      <c r="D362" t="inlineStr">
        <is>
          <t>PJ</t>
        </is>
      </c>
      <c r="E362" t="inlineStr">
        <is>
          <t>CATELUX ENTERPRISE</t>
        </is>
      </c>
      <c r="F362" t="inlineStr">
        <is>
          <t>Udang</t>
        </is>
      </c>
      <c r="G362" t="inlineStr">
        <is>
          <t>Carton (10× Pack (1000g))</t>
        </is>
      </c>
      <c r="H362" s="5" t="n">
        <v>1</v>
      </c>
      <c r="I362" s="5" t="n">
        <v>10000</v>
      </c>
      <c r="J362">
        <f>H362*I362</f>
        <v/>
      </c>
      <c r="K362" t="n">
        <v>155</v>
      </c>
      <c r="L362" t="n">
        <v>155</v>
      </c>
    </row>
    <row r="363">
      <c r="A363" t="inlineStr">
        <is>
          <t>2026-04</t>
        </is>
      </c>
      <c r="B363" t="inlineStr">
        <is>
          <t>2026-04-22</t>
        </is>
      </c>
      <c r="C363" t="inlineStr">
        <is>
          <t>CC-CC002-0024</t>
        </is>
      </c>
      <c r="D363" t="inlineStr">
        <is>
          <t>SA</t>
        </is>
      </c>
      <c r="E363" t="inlineStr">
        <is>
          <t>CATELUX ENTERPRISE</t>
        </is>
      </c>
      <c r="F363" t="inlineStr">
        <is>
          <t>Udang</t>
        </is>
      </c>
      <c r="G363" t="inlineStr">
        <is>
          <t>Carton (10× Pack (1000g))</t>
        </is>
      </c>
      <c r="H363" s="5" t="n">
        <v>1</v>
      </c>
      <c r="I363" s="5" t="n">
        <v>10000</v>
      </c>
      <c r="J363">
        <f>H363*I363</f>
        <v/>
      </c>
      <c r="K363" t="n">
        <v>155</v>
      </c>
      <c r="L363" t="n">
        <v>155</v>
      </c>
    </row>
    <row r="364">
      <c r="A364" t="inlineStr">
        <is>
          <t>2026-04</t>
        </is>
      </c>
      <c r="B364" t="inlineStr">
        <is>
          <t>2026-04-22</t>
        </is>
      </c>
      <c r="C364" t="inlineStr">
        <is>
          <t>CC-CC003-0013</t>
        </is>
      </c>
      <c r="D364" t="inlineStr">
        <is>
          <t>TAM</t>
        </is>
      </c>
      <c r="E364" t="inlineStr">
        <is>
          <t>CATELUX ENTERPRISE</t>
        </is>
      </c>
      <c r="F364" t="inlineStr">
        <is>
          <t>Udang</t>
        </is>
      </c>
      <c r="G364" t="inlineStr">
        <is>
          <t>Carton (10× Pack (1000g))</t>
        </is>
      </c>
      <c r="H364" s="5" t="n">
        <v>1</v>
      </c>
      <c r="I364" s="5" t="n">
        <v>10000</v>
      </c>
      <c r="J364">
        <f>H364*I364</f>
        <v/>
      </c>
      <c r="K364" t="n">
        <v>155</v>
      </c>
      <c r="L364" t="n">
        <v>155</v>
      </c>
    </row>
    <row r="365">
      <c r="A365" t="inlineStr">
        <is>
          <t>2026-05</t>
        </is>
      </c>
      <c r="B365" t="inlineStr">
        <is>
          <t>2026-05-03</t>
        </is>
      </c>
      <c r="C365" t="inlineStr">
        <is>
          <t>CC-CC001-0055</t>
        </is>
      </c>
      <c r="D365" t="inlineStr">
        <is>
          <t>PJ</t>
        </is>
      </c>
      <c r="E365" t="inlineStr">
        <is>
          <t>CATELUX ENTERPRISE</t>
        </is>
      </c>
      <c r="F365" t="inlineStr">
        <is>
          <t>Udang</t>
        </is>
      </c>
      <c r="G365" t="inlineStr">
        <is>
          <t>Carton (10× Pack (1000g))</t>
        </is>
      </c>
      <c r="H365" s="5" t="n">
        <v>1</v>
      </c>
      <c r="I365" s="5" t="n">
        <v>10000</v>
      </c>
      <c r="J365">
        <f>H365*I365</f>
        <v/>
      </c>
      <c r="K365" t="n">
        <v>155</v>
      </c>
      <c r="L365" t="n">
        <v>155</v>
      </c>
    </row>
    <row r="366">
      <c r="A366" t="inlineStr">
        <is>
          <t>2026-05</t>
        </is>
      </c>
      <c r="B366" t="inlineStr">
        <is>
          <t>2026-05-03</t>
        </is>
      </c>
      <c r="C366" t="inlineStr">
        <is>
          <t>CC-CC002-0043</t>
        </is>
      </c>
      <c r="D366" t="inlineStr">
        <is>
          <t>SA</t>
        </is>
      </c>
      <c r="E366" t="inlineStr">
        <is>
          <t>CATELUX ENTERPRISE</t>
        </is>
      </c>
      <c r="F366" t="inlineStr">
        <is>
          <t>Udang</t>
        </is>
      </c>
      <c r="G366" t="inlineStr">
        <is>
          <t>Carton (10× Pack (1000g))</t>
        </is>
      </c>
      <c r="H366" s="5" t="n">
        <v>1</v>
      </c>
      <c r="I366" s="5" t="n">
        <v>10000</v>
      </c>
      <c r="J366">
        <f>H366*I366</f>
        <v/>
      </c>
      <c r="K366" t="n">
        <v>155</v>
      </c>
      <c r="L366" t="n">
        <v>155</v>
      </c>
    </row>
    <row r="367">
      <c r="A367" t="inlineStr">
        <is>
          <t>2026-05</t>
        </is>
      </c>
      <c r="B367" t="inlineStr">
        <is>
          <t>2026-05-03</t>
        </is>
      </c>
      <c r="C367" t="inlineStr">
        <is>
          <t>CC-CC003-0025</t>
        </is>
      </c>
      <c r="D367" t="inlineStr">
        <is>
          <t>TAM</t>
        </is>
      </c>
      <c r="E367" t="inlineStr">
        <is>
          <t>CATELUX ENTERPRISE</t>
        </is>
      </c>
      <c r="F367" t="inlineStr">
        <is>
          <t>Udang</t>
        </is>
      </c>
      <c r="G367" t="inlineStr">
        <is>
          <t>Carton (10× Pack (1000g))</t>
        </is>
      </c>
      <c r="H367" s="5" t="n">
        <v>1</v>
      </c>
      <c r="I367" s="5" t="n">
        <v>10000</v>
      </c>
      <c r="J367">
        <f>H367*I367</f>
        <v/>
      </c>
      <c r="K367" t="n">
        <v>155</v>
      </c>
      <c r="L367" t="n">
        <v>155</v>
      </c>
    </row>
    <row r="368">
      <c r="A368" t="inlineStr">
        <is>
          <t>2026-05</t>
        </is>
      </c>
      <c r="B368" t="inlineStr">
        <is>
          <t>2026-05-12</t>
        </is>
      </c>
      <c r="C368" t="inlineStr">
        <is>
          <t>PC-CC001-0094</t>
        </is>
      </c>
      <c r="D368" t="inlineStr">
        <is>
          <t>PJ</t>
        </is>
      </c>
      <c r="E368" t="inlineStr">
        <is>
          <t>CATELUX ENTERPRISE</t>
        </is>
      </c>
      <c r="F368" t="inlineStr">
        <is>
          <t>Udang</t>
        </is>
      </c>
      <c r="G368" t="inlineStr">
        <is>
          <t>Carton (10× Pack (1000g))</t>
        </is>
      </c>
      <c r="H368" s="5" t="n">
        <v>2</v>
      </c>
      <c r="I368" s="5" t="n">
        <v>10000</v>
      </c>
      <c r="J368">
        <f>H368*I368</f>
        <v/>
      </c>
      <c r="K368" t="n">
        <v>168</v>
      </c>
      <c r="L368" t="n">
        <v>336</v>
      </c>
    </row>
    <row r="369">
      <c r="A369" t="inlineStr">
        <is>
          <t>2026-05</t>
        </is>
      </c>
      <c r="B369" t="inlineStr">
        <is>
          <t>2026-05-14</t>
        </is>
      </c>
      <c r="C369" t="inlineStr">
        <is>
          <t>PC-CC002-0053</t>
        </is>
      </c>
      <c r="D369" t="inlineStr">
        <is>
          <t>SA</t>
        </is>
      </c>
      <c r="E369" t="inlineStr">
        <is>
          <t>Ad-hoc Purchase</t>
        </is>
      </c>
      <c r="F369" t="inlineStr">
        <is>
          <t>Udang</t>
        </is>
      </c>
      <c r="G369" t="inlineStr">
        <is>
          <t>Pack (1000g)</t>
        </is>
      </c>
      <c r="H369" s="5" t="n">
        <v>1</v>
      </c>
      <c r="I369" s="5" t="n">
        <v>1000</v>
      </c>
      <c r="J369">
        <f>H369*I369</f>
        <v/>
      </c>
      <c r="K369" t="n">
        <v>24.15</v>
      </c>
      <c r="L369" t="n">
        <v>24.15</v>
      </c>
    </row>
    <row r="370">
      <c r="A370" t="inlineStr">
        <is>
          <t>2026-05</t>
        </is>
      </c>
      <c r="B370" t="inlineStr">
        <is>
          <t>2026-05-24</t>
        </is>
      </c>
      <c r="C370" t="inlineStr">
        <is>
          <t>CC-CC001-0141</t>
        </is>
      </c>
      <c r="D370" t="inlineStr">
        <is>
          <t>PJ</t>
        </is>
      </c>
      <c r="E370" t="inlineStr">
        <is>
          <t>CATELUX ENTERPRISE</t>
        </is>
      </c>
      <c r="F370" t="inlineStr">
        <is>
          <t>Udang</t>
        </is>
      </c>
      <c r="G370" t="inlineStr">
        <is>
          <t>Carton (10× Pack (1000g))</t>
        </is>
      </c>
      <c r="H370" s="5" t="n">
        <v>1</v>
      </c>
      <c r="I370" s="5" t="n">
        <v>10000</v>
      </c>
      <c r="J370">
        <f>H370*I370</f>
        <v/>
      </c>
      <c r="K370" t="n">
        <v>155</v>
      </c>
      <c r="L370" t="n">
        <v>155</v>
      </c>
    </row>
    <row r="371">
      <c r="A371" t="inlineStr">
        <is>
          <t>2026-05</t>
        </is>
      </c>
      <c r="B371" t="inlineStr">
        <is>
          <t>2026-05-24</t>
        </is>
      </c>
      <c r="C371" t="inlineStr">
        <is>
          <t>CC-CC002-0133</t>
        </is>
      </c>
      <c r="D371" t="inlineStr">
        <is>
          <t>SA</t>
        </is>
      </c>
      <c r="E371" t="inlineStr">
        <is>
          <t>CATELUX ENTERPRISE</t>
        </is>
      </c>
      <c r="F371" t="inlineStr">
        <is>
          <t>Udang</t>
        </is>
      </c>
      <c r="G371" t="inlineStr">
        <is>
          <t>Carton (10× Pack (1000g))</t>
        </is>
      </c>
      <c r="H371" s="5" t="n">
        <v>1</v>
      </c>
      <c r="I371" s="5" t="n">
        <v>10000</v>
      </c>
      <c r="J371">
        <f>H371*I371</f>
        <v/>
      </c>
      <c r="K371" t="n">
        <v>155</v>
      </c>
      <c r="L371" t="n">
        <v>155</v>
      </c>
    </row>
    <row r="372">
      <c r="A372" t="inlineStr">
        <is>
          <t>2026-05</t>
        </is>
      </c>
      <c r="B372" t="inlineStr">
        <is>
          <t>2026-05-24</t>
        </is>
      </c>
      <c r="C372" t="inlineStr">
        <is>
          <t>CC-CC003-0092</t>
        </is>
      </c>
      <c r="D372" t="inlineStr">
        <is>
          <t>TAM</t>
        </is>
      </c>
      <c r="E372" t="inlineStr">
        <is>
          <t>CATELUX ENTERPRISE</t>
        </is>
      </c>
      <c r="F372" t="inlineStr">
        <is>
          <t>Udang</t>
        </is>
      </c>
      <c r="G372" t="inlineStr">
        <is>
          <t>Carton (10× Pack (1000g))</t>
        </is>
      </c>
      <c r="H372" s="5" t="n">
        <v>1</v>
      </c>
      <c r="I372" s="5" t="n">
        <v>10000</v>
      </c>
      <c r="J372">
        <f>H372*I372</f>
        <v/>
      </c>
      <c r="K372" t="n">
        <v>155</v>
      </c>
      <c r="L372" t="n">
        <v>155</v>
      </c>
    </row>
    <row r="373">
      <c r="A373" t="inlineStr">
        <is>
          <t>2026-06</t>
        </is>
      </c>
      <c r="B373" t="inlineStr">
        <is>
          <t>2026-06-11</t>
        </is>
      </c>
      <c r="C373" t="inlineStr">
        <is>
          <t>PC-CC002-0105</t>
        </is>
      </c>
      <c r="D373" t="inlineStr">
        <is>
          <t>SA</t>
        </is>
      </c>
      <c r="E373" t="inlineStr">
        <is>
          <t>CATELUX ENTERPRISE</t>
        </is>
      </c>
      <c r="F373" t="inlineStr">
        <is>
          <t>Udang</t>
        </is>
      </c>
      <c r="G373" t="inlineStr">
        <is>
          <t>Carton (10× Pack (1000g))</t>
        </is>
      </c>
      <c r="H373" s="5" t="n">
        <v>10</v>
      </c>
      <c r="I373" s="5" t="n">
        <v>10000</v>
      </c>
      <c r="J373">
        <f>H373*I373</f>
        <v/>
      </c>
      <c r="K373" t="n">
        <v>18.1</v>
      </c>
      <c r="L373" t="n">
        <v>181</v>
      </c>
    </row>
    <row r="374">
      <c r="A374" t="inlineStr">
        <is>
          <t>2026-06</t>
        </is>
      </c>
      <c r="B374" t="inlineStr">
        <is>
          <t>2026-06-11</t>
        </is>
      </c>
      <c r="C374" t="inlineStr">
        <is>
          <t>PC-CC003-0098</t>
        </is>
      </c>
      <c r="D374" t="inlineStr">
        <is>
          <t>TAM</t>
        </is>
      </c>
      <c r="E374" t="inlineStr">
        <is>
          <t>CATELUX ENTERPRISE</t>
        </is>
      </c>
      <c r="F374" t="inlineStr">
        <is>
          <t>Udang</t>
        </is>
      </c>
      <c r="G374" t="inlineStr">
        <is>
          <t>Carton (10× Pack (1000g))</t>
        </is>
      </c>
      <c r="H374" s="5" t="n">
        <v>10</v>
      </c>
      <c r="I374" s="5" t="n">
        <v>10000</v>
      </c>
      <c r="J374">
        <f>H374*I374</f>
        <v/>
      </c>
      <c r="K374" t="n">
        <v>18.1</v>
      </c>
      <c r="L374" t="n">
        <v>181</v>
      </c>
    </row>
    <row r="375">
      <c r="A375" t="inlineStr">
        <is>
          <t>2026-06</t>
        </is>
      </c>
      <c r="B375" t="inlineStr">
        <is>
          <t>2026-06-11</t>
        </is>
      </c>
      <c r="C375" t="inlineStr">
        <is>
          <t>PC-CC001-0212</t>
        </is>
      </c>
      <c r="D375" t="inlineStr">
        <is>
          <t>PJ</t>
        </is>
      </c>
      <c r="E375" t="inlineStr">
        <is>
          <t>CATELUX ENTERPRISE</t>
        </is>
      </c>
      <c r="F375" t="inlineStr">
        <is>
          <t>Udang</t>
        </is>
      </c>
      <c r="G375" t="inlineStr">
        <is>
          <t>Carton (10× Pack (1000g))</t>
        </is>
      </c>
      <c r="H375" s="5" t="n">
        <v>1</v>
      </c>
      <c r="I375" s="5" t="n">
        <v>10000</v>
      </c>
      <c r="J375">
        <f>H375*I375</f>
        <v/>
      </c>
      <c r="K375" t="n">
        <v>181</v>
      </c>
      <c r="L375" t="n">
        <v>181</v>
      </c>
    </row>
    <row r="376">
      <c r="A376" t="inlineStr">
        <is>
          <t>2026-06</t>
        </is>
      </c>
      <c r="B376" t="inlineStr">
        <is>
          <t>2026-06-15</t>
        </is>
      </c>
      <c r="C376" t="inlineStr">
        <is>
          <t>CC-CC001-0208</t>
        </is>
      </c>
      <c r="D376" t="inlineStr">
        <is>
          <t>PJ</t>
        </is>
      </c>
      <c r="E376" t="inlineStr">
        <is>
          <t>CATELUX ENTERPRISE</t>
        </is>
      </c>
      <c r="F376" t="inlineStr">
        <is>
          <t>Udang</t>
        </is>
      </c>
      <c r="G376" t="inlineStr">
        <is>
          <t>Carton (10× Pack (1000g))</t>
        </is>
      </c>
      <c r="H376" s="5" t="n">
        <v>1</v>
      </c>
      <c r="I376" s="5" t="n">
        <v>10000</v>
      </c>
      <c r="J376">
        <f>H376*I376</f>
        <v/>
      </c>
      <c r="K376" t="n">
        <v>181</v>
      </c>
      <c r="L376" t="n">
        <v>181</v>
      </c>
    </row>
    <row r="377">
      <c r="A377" t="inlineStr">
        <is>
          <t>2026-06</t>
        </is>
      </c>
      <c r="B377" t="inlineStr">
        <is>
          <t>2026-06-22</t>
        </is>
      </c>
      <c r="C377" t="inlineStr">
        <is>
          <t>CC-CC002-0222</t>
        </is>
      </c>
      <c r="D377" t="inlineStr">
        <is>
          <t>SA</t>
        </is>
      </c>
      <c r="E377" t="inlineStr">
        <is>
          <t>CATELUX ENTERPRISE</t>
        </is>
      </c>
      <c r="F377" t="inlineStr">
        <is>
          <t>Udang</t>
        </is>
      </c>
      <c r="G377" t="inlineStr">
        <is>
          <t>Carton (10× Pack (1000g))</t>
        </is>
      </c>
      <c r="H377" s="5" t="n">
        <v>1</v>
      </c>
      <c r="I377" s="5" t="n">
        <v>10000</v>
      </c>
      <c r="J377">
        <f>H377*I377</f>
        <v/>
      </c>
      <c r="K377" t="n">
        <v>155</v>
      </c>
      <c r="L377" t="n">
        <v>155</v>
      </c>
    </row>
    <row r="378">
      <c r="A378" t="inlineStr">
        <is>
          <t>2026-07</t>
        </is>
      </c>
      <c r="B378" t="inlineStr">
        <is>
          <t>2026-07-01</t>
        </is>
      </c>
      <c r="C378" t="inlineStr">
        <is>
          <t>CC-CC001-0254</t>
        </is>
      </c>
      <c r="D378" t="inlineStr">
        <is>
          <t>PJ</t>
        </is>
      </c>
      <c r="E378" t="inlineStr">
        <is>
          <t>CATELUX ENTERPRISE</t>
        </is>
      </c>
      <c r="F378" t="inlineStr">
        <is>
          <t>Udang</t>
        </is>
      </c>
      <c r="G378" t="inlineStr">
        <is>
          <t>Carton (10× Pack (1000g))</t>
        </is>
      </c>
      <c r="H378" s="5" t="n">
        <v>2</v>
      </c>
      <c r="I378" s="5" t="n">
        <v>10000</v>
      </c>
      <c r="J378">
        <f>H378*I378</f>
        <v/>
      </c>
      <c r="K378" t="n">
        <v>155</v>
      </c>
      <c r="L378" t="n">
        <v>310</v>
      </c>
    </row>
    <row r="379">
      <c r="A379" t="inlineStr">
        <is>
          <t>2026-07</t>
        </is>
      </c>
      <c r="B379" t="inlineStr">
        <is>
          <t>2026-07-09</t>
        </is>
      </c>
      <c r="C379" t="inlineStr">
        <is>
          <t>PC-CC001-0300</t>
        </is>
      </c>
      <c r="D379" t="inlineStr">
        <is>
          <t>PJ</t>
        </is>
      </c>
      <c r="E379" t="inlineStr">
        <is>
          <t>CATELUX ENTERPRISE</t>
        </is>
      </c>
      <c r="F379" t="inlineStr">
        <is>
          <t>Udang</t>
        </is>
      </c>
      <c r="G379" t="inlineStr">
        <is>
          <t>Carton (10× Pack (1000g))</t>
        </is>
      </c>
      <c r="H379" s="5" t="n">
        <v>1</v>
      </c>
      <c r="I379" s="5" t="n">
        <v>10000</v>
      </c>
      <c r="J379">
        <f>H379*I379</f>
        <v/>
      </c>
      <c r="K379" t="n">
        <v>155</v>
      </c>
      <c r="L379" t="n">
        <v>155</v>
      </c>
    </row>
    <row r="380">
      <c r="A380" t="inlineStr">
        <is>
          <t>2026-07</t>
        </is>
      </c>
      <c r="B380" t="inlineStr">
        <is>
          <t>2026-07-09</t>
        </is>
      </c>
      <c r="C380" t="inlineStr">
        <is>
          <t>PC-CC002-0168</t>
        </is>
      </c>
      <c r="D380" t="inlineStr">
        <is>
          <t>SA</t>
        </is>
      </c>
      <c r="E380" t="inlineStr">
        <is>
          <t>CATELUX ENTERPRISE</t>
        </is>
      </c>
      <c r="F380" t="inlineStr">
        <is>
          <t>Udang</t>
        </is>
      </c>
      <c r="G380" t="inlineStr">
        <is>
          <t>Carton (10× Pack (1000g))</t>
        </is>
      </c>
      <c r="H380" s="5" t="n">
        <v>1</v>
      </c>
      <c r="I380" s="5" t="n">
        <v>10000</v>
      </c>
      <c r="J380">
        <f>H380*I380</f>
        <v/>
      </c>
      <c r="K380" t="n">
        <v>155</v>
      </c>
      <c r="L380" t="n">
        <v>155</v>
      </c>
    </row>
    <row r="381">
      <c r="A381" t="inlineStr">
        <is>
          <t>2026-07</t>
        </is>
      </c>
      <c r="B381" t="inlineStr">
        <is>
          <t>2026-07-14</t>
        </is>
      </c>
      <c r="C381" t="inlineStr">
        <is>
          <t>CC-CC001-0290</t>
        </is>
      </c>
      <c r="D381" t="inlineStr">
        <is>
          <t>PJ</t>
        </is>
      </c>
      <c r="E381" t="inlineStr">
        <is>
          <t>CATELUX ENTERPRISE</t>
        </is>
      </c>
      <c r="F381" t="inlineStr">
        <is>
          <t>Udang</t>
        </is>
      </c>
      <c r="G381" t="inlineStr">
        <is>
          <t>Carton (10× Pack (1000g))</t>
        </is>
      </c>
      <c r="H381" s="5" t="n">
        <v>2</v>
      </c>
      <c r="I381" s="5" t="n">
        <v>10000</v>
      </c>
      <c r="J381">
        <f>H381*I381</f>
        <v/>
      </c>
      <c r="K381" t="n">
        <v>155</v>
      </c>
      <c r="L381" t="n">
        <v>310</v>
      </c>
    </row>
    <row r="382">
      <c r="A382" t="inlineStr">
        <is>
          <t>2026-07</t>
        </is>
      </c>
      <c r="B382" t="inlineStr">
        <is>
          <t>2026-07-20</t>
        </is>
      </c>
      <c r="C382" t="inlineStr">
        <is>
          <t>CC-CC001-0309</t>
        </is>
      </c>
      <c r="D382" t="inlineStr">
        <is>
          <t>PJ</t>
        </is>
      </c>
      <c r="E382" t="inlineStr">
        <is>
          <t>CATELUX ENTERPRISE</t>
        </is>
      </c>
      <c r="F382" t="inlineStr">
        <is>
          <t>Udang</t>
        </is>
      </c>
      <c r="G382" t="inlineStr">
        <is>
          <t>Carton (10× Pack (1000g))</t>
        </is>
      </c>
      <c r="H382" s="5" t="n">
        <v>1</v>
      </c>
      <c r="I382" s="5" t="n">
        <v>10000</v>
      </c>
      <c r="J382">
        <f>H382*I382</f>
        <v/>
      </c>
      <c r="K382" t="n">
        <v>155</v>
      </c>
      <c r="L382" t="n">
        <v>155</v>
      </c>
    </row>
    <row r="383">
      <c r="A383" t="inlineStr">
        <is>
          <t>2026-07</t>
        </is>
      </c>
      <c r="B383" t="inlineStr">
        <is>
          <t>2026-07-20</t>
        </is>
      </c>
      <c r="C383" t="inlineStr">
        <is>
          <t>CC-CC002-0296</t>
        </is>
      </c>
      <c r="D383" t="inlineStr">
        <is>
          <t>SA</t>
        </is>
      </c>
      <c r="E383" t="inlineStr">
        <is>
          <t>CATELUX ENTERPRISE</t>
        </is>
      </c>
      <c r="F383" t="inlineStr">
        <is>
          <t>Udang</t>
        </is>
      </c>
      <c r="G383" t="inlineStr">
        <is>
          <t>Carton (10× Pack (1000g))</t>
        </is>
      </c>
      <c r="H383" s="5" t="n">
        <v>1</v>
      </c>
      <c r="I383" s="5" t="n">
        <v>10000</v>
      </c>
      <c r="J383">
        <f>H383*I383</f>
        <v/>
      </c>
      <c r="K383" t="n">
        <v>155</v>
      </c>
      <c r="L383" t="n">
        <v>155</v>
      </c>
    </row>
    <row r="384">
      <c r="A384" t="inlineStr">
        <is>
          <t>2026-07</t>
        </is>
      </c>
      <c r="B384" t="inlineStr">
        <is>
          <t>2026-07-23</t>
        </is>
      </c>
      <c r="C384" t="inlineStr">
        <is>
          <t>PC-CC002-0182</t>
        </is>
      </c>
      <c r="D384" t="inlineStr">
        <is>
          <t>SA</t>
        </is>
      </c>
      <c r="E384" t="inlineStr">
        <is>
          <t>Ad-hoc Purchase</t>
        </is>
      </c>
      <c r="F384" t="inlineStr">
        <is>
          <t>Udang</t>
        </is>
      </c>
      <c r="G384" t="inlineStr">
        <is>
          <t>Pack (1000g)</t>
        </is>
      </c>
      <c r="H384" s="5" t="n">
        <v>1</v>
      </c>
      <c r="I384" s="5" t="n">
        <v>1000</v>
      </c>
      <c r="J384">
        <f>H384*I384</f>
        <v/>
      </c>
      <c r="K384" t="n">
        <v>38.2</v>
      </c>
      <c r="L384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2026-07-28T14:32:28Z</dcterms:created>
  <dcterms:modified xsi:type="dcterms:W3CDTF">2026-07-28T15:39:45Z</dcterms:modified>
</cp:coreProperties>
</file>